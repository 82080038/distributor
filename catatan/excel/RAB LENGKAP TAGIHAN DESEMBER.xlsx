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60D7BCB-6E91-450B-99EB-2D6F1783ACC2}" xr6:coauthVersionLast="47" xr6:coauthVersionMax="47" xr10:uidLastSave="{00000000-0000-0000-0000-000000000000}"/>
  <bookViews>
    <workbookView xWindow="-108" yWindow="-108" windowWidth="23256" windowHeight="12456" firstSheet="3" activeTab="12" xr2:uid="{F6E6C618-D62F-4167-B2A4-562A67885FF0}"/>
  </bookViews>
  <sheets>
    <sheet name="08 Des" sheetId="1" r:id="rId1"/>
    <sheet name="09 Des" sheetId="2" r:id="rId2"/>
    <sheet name="10 Des" sheetId="3" r:id="rId3"/>
    <sheet name="11 Des" sheetId="4" r:id="rId4"/>
    <sheet name="12 Des" sheetId="5" r:id="rId5"/>
    <sheet name="13 Des" sheetId="6" r:id="rId6"/>
    <sheet name="15 Des" sheetId="8" r:id="rId7"/>
    <sheet name="16 Des" sheetId="9" r:id="rId8"/>
    <sheet name="17 Des" sheetId="10" r:id="rId9"/>
    <sheet name="18 Des" sheetId="11" r:id="rId10"/>
    <sheet name="19 Des" sheetId="12" r:id="rId11"/>
    <sheet name="20 Des" sheetId="13" r:id="rId12"/>
    <sheet name="SUMMARY" sheetId="14" r:id="rId13"/>
  </sheets>
  <definedNames>
    <definedName name="_xlnm.Print_Area" localSheetId="12">SUMMARY!$B$5:$G$18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8" l="1"/>
  <c r="G15" i="8"/>
  <c r="G16" i="8"/>
  <c r="G17" i="8"/>
  <c r="D35" i="14"/>
  <c r="D34" i="14"/>
  <c r="D33" i="14"/>
  <c r="D31" i="14"/>
  <c r="D30" i="14"/>
  <c r="D28" i="14"/>
  <c r="D26" i="14"/>
  <c r="C30" i="14"/>
  <c r="C29" i="14"/>
  <c r="C28" i="14"/>
  <c r="K38" i="3"/>
  <c r="K34" i="3"/>
  <c r="K33" i="3"/>
  <c r="C26" i="14"/>
  <c r="D37" i="14"/>
  <c r="C37" i="14"/>
  <c r="C36" i="14"/>
  <c r="C35" i="14"/>
  <c r="C34" i="14"/>
  <c r="C31" i="14"/>
  <c r="D27" i="14"/>
  <c r="C27" i="14"/>
  <c r="K37" i="10"/>
  <c r="G34" i="10"/>
  <c r="G35" i="10"/>
  <c r="G37" i="8"/>
  <c r="K21" i="6"/>
  <c r="G26" i="6"/>
  <c r="G40" i="1"/>
  <c r="G39" i="1"/>
  <c r="G10" i="12"/>
  <c r="K29" i="9" l="1"/>
  <c r="G30" i="11"/>
  <c r="K30" i="11" s="1"/>
  <c r="F18" i="14"/>
  <c r="K22" i="13"/>
  <c r="K32" i="9"/>
  <c r="G22" i="13"/>
  <c r="G23" i="13"/>
  <c r="G24" i="13"/>
  <c r="K25" i="13" l="1"/>
  <c r="D17" i="14" s="1"/>
  <c r="G21" i="13"/>
  <c r="G20" i="13"/>
  <c r="G19" i="13"/>
  <c r="G13" i="13"/>
  <c r="G12" i="13"/>
  <c r="G11" i="13"/>
  <c r="G10" i="13"/>
  <c r="K10" i="13" s="1"/>
  <c r="K14" i="13" s="1"/>
  <c r="C17" i="14" s="1"/>
  <c r="K25" i="12"/>
  <c r="D16" i="14" s="1"/>
  <c r="G21" i="12"/>
  <c r="G20" i="12"/>
  <c r="G19" i="12"/>
  <c r="G12" i="12"/>
  <c r="G11" i="12"/>
  <c r="K10" i="12" s="1"/>
  <c r="K14" i="12" s="1"/>
  <c r="C16" i="14" s="1"/>
  <c r="D10" i="14"/>
  <c r="D7" i="14"/>
  <c r="E18" i="14"/>
  <c r="C11" i="14"/>
  <c r="C10" i="14"/>
  <c r="C9" i="14"/>
  <c r="C8" i="14"/>
  <c r="C7" i="14"/>
  <c r="C6" i="14"/>
  <c r="K31" i="11"/>
  <c r="D15" i="14" s="1"/>
  <c r="G29" i="11"/>
  <c r="G28" i="11"/>
  <c r="G27" i="11"/>
  <c r="G20" i="11"/>
  <c r="G19" i="11"/>
  <c r="G18" i="11"/>
  <c r="G17" i="11"/>
  <c r="G16" i="11"/>
  <c r="G15" i="11"/>
  <c r="G14" i="11"/>
  <c r="G13" i="11"/>
  <c r="G12" i="11"/>
  <c r="G11" i="11"/>
  <c r="G10" i="11"/>
  <c r="G36" i="10"/>
  <c r="G33" i="10"/>
  <c r="G32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K33" i="9"/>
  <c r="D13" i="14" s="1"/>
  <c r="G32" i="9"/>
  <c r="G31" i="9"/>
  <c r="G30" i="9"/>
  <c r="G29" i="9"/>
  <c r="G23" i="9"/>
  <c r="G22" i="9"/>
  <c r="K22" i="9" s="1"/>
  <c r="G21" i="9"/>
  <c r="K21" i="9" s="1"/>
  <c r="C33" i="14" s="1"/>
  <c r="G20" i="9"/>
  <c r="G19" i="9"/>
  <c r="G18" i="9"/>
  <c r="G17" i="9"/>
  <c r="G16" i="9"/>
  <c r="G15" i="9"/>
  <c r="G14" i="9"/>
  <c r="G13" i="9"/>
  <c r="G12" i="9"/>
  <c r="G11" i="9"/>
  <c r="G10" i="9"/>
  <c r="G40" i="8"/>
  <c r="K40" i="8" s="1"/>
  <c r="G39" i="8"/>
  <c r="G38" i="8"/>
  <c r="G36" i="8"/>
  <c r="G35" i="8"/>
  <c r="G34" i="8"/>
  <c r="K34" i="8" s="1"/>
  <c r="G28" i="8"/>
  <c r="K28" i="8" s="1"/>
  <c r="C32" i="14" s="1"/>
  <c r="C38" i="14" s="1"/>
  <c r="G27" i="8"/>
  <c r="G26" i="8"/>
  <c r="G25" i="8"/>
  <c r="G24" i="8"/>
  <c r="G23" i="8"/>
  <c r="G22" i="8"/>
  <c r="G21" i="8"/>
  <c r="G20" i="8"/>
  <c r="G19" i="8"/>
  <c r="G18" i="8"/>
  <c r="G13" i="8"/>
  <c r="G12" i="8"/>
  <c r="G11" i="8"/>
  <c r="G10" i="8"/>
  <c r="G27" i="6"/>
  <c r="K27" i="6" s="1"/>
  <c r="G25" i="6"/>
  <c r="G24" i="6"/>
  <c r="G23" i="6"/>
  <c r="G22" i="6"/>
  <c r="G21" i="6"/>
  <c r="G13" i="6"/>
  <c r="G12" i="6"/>
  <c r="G11" i="6"/>
  <c r="G10" i="6"/>
  <c r="K10" i="6" s="1"/>
  <c r="K14" i="6" s="1"/>
  <c r="G33" i="5"/>
  <c r="G32" i="5"/>
  <c r="K32" i="5" s="1"/>
  <c r="G31" i="5"/>
  <c r="K31" i="5" s="1"/>
  <c r="G30" i="5"/>
  <c r="G29" i="5"/>
  <c r="G28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K36" i="4"/>
  <c r="G35" i="4"/>
  <c r="G34" i="4"/>
  <c r="G33" i="4"/>
  <c r="G26" i="4"/>
  <c r="K26" i="4" s="1"/>
  <c r="G25" i="4"/>
  <c r="G24" i="4"/>
  <c r="K24" i="4" s="1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36" i="3"/>
  <c r="K36" i="3" s="1"/>
  <c r="G35" i="3"/>
  <c r="G33" i="3"/>
  <c r="G32" i="3"/>
  <c r="G31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F170" i="2"/>
  <c r="F169" i="2"/>
  <c r="F168" i="2"/>
  <c r="F167" i="2"/>
  <c r="F166" i="2"/>
  <c r="F165" i="2"/>
  <c r="F164" i="2"/>
  <c r="F163" i="2"/>
  <c r="F171" i="2" s="1"/>
  <c r="F162" i="2"/>
  <c r="F161" i="2"/>
  <c r="G154" i="2"/>
  <c r="G153" i="2"/>
  <c r="G152" i="2"/>
  <c r="G151" i="2"/>
  <c r="G150" i="2"/>
  <c r="G149" i="2"/>
  <c r="G148" i="2"/>
  <c r="G147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K35" i="2"/>
  <c r="G34" i="2"/>
  <c r="G33" i="2"/>
  <c r="G32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K10" i="2" s="1"/>
  <c r="K27" i="2" s="1"/>
  <c r="G38" i="1"/>
  <c r="K38" i="1" s="1"/>
  <c r="K41" i="1" s="1"/>
  <c r="D6" i="14" s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K10" i="1" s="1"/>
  <c r="K33" i="1" s="1"/>
  <c r="K38" i="8" l="1"/>
  <c r="D32" i="14" s="1"/>
  <c r="D38" i="14" s="1"/>
  <c r="K10" i="8"/>
  <c r="K29" i="8" s="1"/>
  <c r="C12" i="14" s="1"/>
  <c r="K36" i="10"/>
  <c r="K32" i="10"/>
  <c r="K10" i="10"/>
  <c r="K27" i="10" s="1"/>
  <c r="C14" i="14" s="1"/>
  <c r="K10" i="11"/>
  <c r="K22" i="11" s="1"/>
  <c r="C15" i="14" s="1"/>
  <c r="K10" i="9"/>
  <c r="K24" i="9" s="1"/>
  <c r="C13" i="14" s="1"/>
  <c r="K28" i="6"/>
  <c r="D11" i="14" s="1"/>
  <c r="K10" i="5"/>
  <c r="K23" i="5" s="1"/>
  <c r="K34" i="5"/>
  <c r="K10" i="4"/>
  <c r="K28" i="4"/>
  <c r="K10" i="3"/>
  <c r="K26" i="3" s="1"/>
  <c r="D8" i="14"/>
  <c r="G139" i="2"/>
  <c r="G141" i="2" s="1"/>
  <c r="G155" i="2"/>
  <c r="K42" i="8" l="1"/>
  <c r="D12" i="14" s="1"/>
  <c r="D14" i="14"/>
  <c r="D18" i="14"/>
  <c r="C18" i="14"/>
  <c r="D21" i="14" l="1"/>
</calcChain>
</file>

<file path=xl/sharedStrings.xml><?xml version="1.0" encoding="utf-8"?>
<sst xmlns="http://schemas.openxmlformats.org/spreadsheetml/2006/main" count="1037" uniqueCount="242">
  <si>
    <t>RENCANA ANGGARAN BELANJA (RAB) BAHAN BAKU HARIAN</t>
  </si>
  <si>
    <t xml:space="preserve">SPPG POLRES  KAB. SAMOSIR </t>
  </si>
  <si>
    <t>YAYASAN KEMALA BHAYANGKARI</t>
  </si>
  <si>
    <t>Hari : Senin, 08 Des 2025</t>
  </si>
  <si>
    <t xml:space="preserve">MENU : Nasi Putih, Telur Kecap Manis, Tempe, Buah Jeruk </t>
  </si>
  <si>
    <t xml:space="preserve">1. Biaya Bahan Pangan </t>
  </si>
  <si>
    <t>NO</t>
  </si>
  <si>
    <t xml:space="preserve">NAMA BARANG </t>
  </si>
  <si>
    <t>QTY</t>
  </si>
  <si>
    <t>SATUAN</t>
  </si>
  <si>
    <t>HARGA</t>
  </si>
  <si>
    <t>JUMLAH</t>
  </si>
  <si>
    <t>NAMA SUPPLIER</t>
  </si>
  <si>
    <t xml:space="preserve">NAMA BANK </t>
  </si>
  <si>
    <t>NO REKENING</t>
  </si>
  <si>
    <t xml:space="preserve">TOTAL KESELURUHAN </t>
  </si>
  <si>
    <t xml:space="preserve">KET </t>
  </si>
  <si>
    <t>PARAF</t>
  </si>
  <si>
    <t>Beras</t>
  </si>
  <si>
    <t>Sak</t>
  </si>
  <si>
    <t xml:space="preserve">KOPERASI POLRES SAMOSIR </t>
  </si>
  <si>
    <t xml:space="preserve">BRI </t>
  </si>
  <si>
    <t>208201012751500             (A/n AGUSTIAWAN SINAGA)</t>
  </si>
  <si>
    <t>Jeruk Nipis</t>
  </si>
  <si>
    <t>Kg</t>
  </si>
  <si>
    <t>Bawang Merah</t>
  </si>
  <si>
    <t>Bawang Putih</t>
  </si>
  <si>
    <t>Kemiri</t>
  </si>
  <si>
    <t>Ketumbar</t>
  </si>
  <si>
    <t>Bks</t>
  </si>
  <si>
    <t>Minyak Goreng</t>
  </si>
  <si>
    <t>Liter</t>
  </si>
  <si>
    <t>Garam dolpin</t>
  </si>
  <si>
    <t>Gula Merah</t>
  </si>
  <si>
    <t>Serai</t>
  </si>
  <si>
    <t>Lengkuas</t>
  </si>
  <si>
    <t>Daun Salam</t>
  </si>
  <si>
    <t>Ikat</t>
  </si>
  <si>
    <t>Kunyit</t>
  </si>
  <si>
    <t>Buncis</t>
  </si>
  <si>
    <t>Wortel</t>
  </si>
  <si>
    <t>Gula Pasir</t>
  </si>
  <si>
    <t>Cabe Merah</t>
  </si>
  <si>
    <t>Tempe</t>
  </si>
  <si>
    <t>Papan</t>
  </si>
  <si>
    <t>Tahu</t>
  </si>
  <si>
    <t>Timun</t>
  </si>
  <si>
    <t>Tomat</t>
  </si>
  <si>
    <t xml:space="preserve">Jeruk </t>
  </si>
  <si>
    <t>Telur</t>
  </si>
  <si>
    <t xml:space="preserve">Total Biaya Bahan Pangan </t>
  </si>
  <si>
    <t>2. Biaya Operasional</t>
  </si>
  <si>
    <t>NO.</t>
  </si>
  <si>
    <t xml:space="preserve">URAIAN </t>
  </si>
  <si>
    <t xml:space="preserve">JUMLAH </t>
  </si>
  <si>
    <t>KET</t>
  </si>
  <si>
    <t xml:space="preserve">Gas 12kg </t>
  </si>
  <si>
    <t>Tbg</t>
  </si>
  <si>
    <t>KOPERASI POLRES SAMOSIR</t>
  </si>
  <si>
    <t>BRI</t>
  </si>
  <si>
    <t xml:space="preserve">Gas 50kg </t>
  </si>
  <si>
    <t>Bensin</t>
  </si>
  <si>
    <t>Ltr</t>
  </si>
  <si>
    <t>MITRA/awal</t>
  </si>
  <si>
    <t xml:space="preserve">Total Biaya Operasional </t>
  </si>
  <si>
    <t>Hari : Selasa, 09 Des 2025</t>
  </si>
  <si>
    <t xml:space="preserve">MENU : </t>
  </si>
  <si>
    <t>Ayam</t>
  </si>
  <si>
    <t>ikat</t>
  </si>
  <si>
    <t>Brokoli</t>
  </si>
  <si>
    <t>kg</t>
  </si>
  <si>
    <t>papan</t>
  </si>
  <si>
    <t>Tepung Serba guna</t>
  </si>
  <si>
    <t>Tepung Beras</t>
  </si>
  <si>
    <t>Kaldu Bubuk</t>
  </si>
  <si>
    <t>bks</t>
  </si>
  <si>
    <t>Bawang Putih bubuk</t>
  </si>
  <si>
    <t>renteng</t>
  </si>
  <si>
    <t>Pisang</t>
  </si>
  <si>
    <t>sisir</t>
  </si>
  <si>
    <t>Gas 50kg</t>
  </si>
  <si>
    <t>URAIAN</t>
  </si>
  <si>
    <t>KETERANGAN</t>
  </si>
  <si>
    <t>1 karung isi 10kg</t>
  </si>
  <si>
    <t>TOTAL</t>
  </si>
  <si>
    <t>PAGU HARGA BELANJA GARI HARIAN</t>
  </si>
  <si>
    <t>SISA</t>
  </si>
  <si>
    <t>TANGGAL / SEKOLAH</t>
  </si>
  <si>
    <t>KLASTER</t>
  </si>
  <si>
    <t>JUMLAH SISWA</t>
  </si>
  <si>
    <t>PAGU HARGA</t>
  </si>
  <si>
    <t>SD NEGERI 31 SINABULAN</t>
  </si>
  <si>
    <t>Kelas 1,2,3</t>
  </si>
  <si>
    <t>Kelas 4,5,6</t>
  </si>
  <si>
    <t>SD NEGERI 34 LUMBAN SUHISUHI DOLOK</t>
  </si>
  <si>
    <t>SD NEGERI 6 SAITNIHUTA</t>
  </si>
  <si>
    <t>SMP NEGERI 1 PANGURURAN</t>
  </si>
  <si>
    <t>SMP SATU ATAP NEGERI 5 PANGURURAN</t>
  </si>
  <si>
    <t>RAB Operasional ULTINITAS</t>
  </si>
  <si>
    <t>No.</t>
  </si>
  <si>
    <t>Uraian</t>
  </si>
  <si>
    <t>qty</t>
  </si>
  <si>
    <t>Harga</t>
  </si>
  <si>
    <t>Jumlah</t>
  </si>
  <si>
    <t>Upah Relawan</t>
  </si>
  <si>
    <t>Insentif kader</t>
  </si>
  <si>
    <t>Gas</t>
  </si>
  <si>
    <t>Listrik</t>
  </si>
  <si>
    <t>Air</t>
  </si>
  <si>
    <t>Wifi</t>
  </si>
  <si>
    <t>ATK</t>
  </si>
  <si>
    <t xml:space="preserve">APD </t>
  </si>
  <si>
    <t>SEWA MOBIL</t>
  </si>
  <si>
    <t>total</t>
  </si>
  <si>
    <t>Hari : Rabu, 10 Des 2025</t>
  </si>
  <si>
    <t>Beras(Matahari)</t>
  </si>
  <si>
    <t>Ikan lele</t>
  </si>
  <si>
    <t>Garam dolphin(500gr)</t>
  </si>
  <si>
    <t>Bawang merah</t>
  </si>
  <si>
    <t>Cabai rawit</t>
  </si>
  <si>
    <t>Sawi putih</t>
  </si>
  <si>
    <t>Saos tiram</t>
  </si>
  <si>
    <t>Semangka</t>
  </si>
  <si>
    <t>PERTAMINA</t>
  </si>
  <si>
    <t xml:space="preserve">5379 0101 9452 539 (A/n BARITA SITUMORANG) </t>
  </si>
  <si>
    <t xml:space="preserve">Fotocopy Absensi </t>
  </si>
  <si>
    <t>Lbr</t>
  </si>
  <si>
    <t>GRACIA FOTOCOPY</t>
  </si>
  <si>
    <t xml:space="preserve">Tali Rapia </t>
  </si>
  <si>
    <t>Ball</t>
  </si>
  <si>
    <t>UD TUMPAL SITANGGANG</t>
  </si>
  <si>
    <t>Mama Lime 680ml</t>
  </si>
  <si>
    <t>WARUNG GANDA</t>
  </si>
  <si>
    <t>MANDIRI</t>
  </si>
  <si>
    <t>1050021198654 (A/n PASULINA SITORUS)</t>
  </si>
  <si>
    <t>Hari : Kamis, 11 Des 2025</t>
  </si>
  <si>
    <t>Kecap manis(700gr)</t>
  </si>
  <si>
    <t>sachet</t>
  </si>
  <si>
    <t>Daun bawang</t>
  </si>
  <si>
    <t>Minyak goreng</t>
  </si>
  <si>
    <t>liter</t>
  </si>
  <si>
    <t>Garam</t>
  </si>
  <si>
    <t>Labu siam</t>
  </si>
  <si>
    <t>Cabe merah</t>
  </si>
  <si>
    <t>Kaldu bubuk masako</t>
  </si>
  <si>
    <t xml:space="preserve">WARUNG JORDAN </t>
  </si>
  <si>
    <t>1050021198654                          (A/n PASULINA SITORUS)</t>
  </si>
  <si>
    <t xml:space="preserve">Nenas </t>
  </si>
  <si>
    <t>bh</t>
  </si>
  <si>
    <t>WARUNG THEODORA</t>
  </si>
  <si>
    <t>Saos Tiram 270ml</t>
  </si>
  <si>
    <t>botol</t>
  </si>
  <si>
    <t xml:space="preserve">ALFAMIDI </t>
  </si>
  <si>
    <t>Hari : Jumat, 12 Des 2025</t>
  </si>
  <si>
    <t>Nila</t>
  </si>
  <si>
    <t>Cabe rawit</t>
  </si>
  <si>
    <t>Garam kasar</t>
  </si>
  <si>
    <t>ons</t>
  </si>
  <si>
    <t>Jeruk nipis</t>
  </si>
  <si>
    <t>Bunga kol</t>
  </si>
  <si>
    <t>Daun salam</t>
  </si>
  <si>
    <t>Salak</t>
  </si>
  <si>
    <t xml:space="preserve">Tali Rapia k </t>
  </si>
  <si>
    <t xml:space="preserve">ball </t>
  </si>
  <si>
    <t>Plastik asoy b</t>
  </si>
  <si>
    <t xml:space="preserve">UD. TUMPAL SITANGGANG </t>
  </si>
  <si>
    <t>Plastik asoy k</t>
  </si>
  <si>
    <t>Hari : Sabtu, 13 Des 2025</t>
  </si>
  <si>
    <t>Roti</t>
  </si>
  <si>
    <t>Kacang Tanah/Kacang rondam</t>
  </si>
  <si>
    <t>kaleng</t>
  </si>
  <si>
    <t>So klin lantai 800ml</t>
  </si>
  <si>
    <t>btl</t>
  </si>
  <si>
    <t>Cling pembersih kaca</t>
  </si>
  <si>
    <t>Plastik opp</t>
  </si>
  <si>
    <t>Hari : Senin, 15 Des 2025</t>
  </si>
  <si>
    <t>Santan kental</t>
  </si>
  <si>
    <t>Daun pandan</t>
  </si>
  <si>
    <t>Daun jeruk</t>
  </si>
  <si>
    <t>Duku</t>
  </si>
  <si>
    <t>pack</t>
  </si>
  <si>
    <t>Tali Rapia</t>
  </si>
  <si>
    <t>Glg</t>
  </si>
  <si>
    <t xml:space="preserve">UD. AUREL SITANGGANG </t>
  </si>
  <si>
    <t xml:space="preserve">Plastik Warna </t>
  </si>
  <si>
    <t xml:space="preserve">MENU :  </t>
  </si>
  <si>
    <t>208201012751500                       (A/n AGUSTIAWAN SINAGA)</t>
  </si>
  <si>
    <t>Mujahir</t>
  </si>
  <si>
    <t>Bawang putih</t>
  </si>
  <si>
    <t xml:space="preserve">Telor </t>
  </si>
  <si>
    <t xml:space="preserve">UD. MONA </t>
  </si>
  <si>
    <t xml:space="preserve">Garam </t>
  </si>
  <si>
    <t>Porstex kamar mandi</t>
  </si>
  <si>
    <t>Bensin Mobil BK1180QM</t>
  </si>
  <si>
    <t xml:space="preserve">PERTAMINA </t>
  </si>
  <si>
    <t>Hari : Rabu, 17 Des 2025</t>
  </si>
  <si>
    <t>Hari : Kamis, 18 Des 2025</t>
  </si>
  <si>
    <t xml:space="preserve">BAHAN BAKU </t>
  </si>
  <si>
    <t xml:space="preserve">OPERASIONAL </t>
  </si>
  <si>
    <t xml:space="preserve">TGL </t>
  </si>
  <si>
    <t>Insentif pic guru</t>
  </si>
  <si>
    <t xml:space="preserve">Sewa Mobil </t>
  </si>
  <si>
    <t>INSENTIF</t>
  </si>
  <si>
    <t>OPERASIONAL BLM MASUK REKAP</t>
  </si>
  <si>
    <t>Hari : Sabtu, 20 Des 2025</t>
  </si>
  <si>
    <t>Hari : Jumat, 19 Des 2025</t>
  </si>
  <si>
    <t xml:space="preserve">Wifi </t>
  </si>
  <si>
    <t>Bln</t>
  </si>
  <si>
    <t>Air / tgl 1</t>
  </si>
  <si>
    <t>Listrik/ tgl 8</t>
  </si>
  <si>
    <t>Sewa Mobil /250rb/hr/mobil</t>
  </si>
  <si>
    <t>OPERASIONAL YG AKAN DIBYR</t>
  </si>
  <si>
    <t>Gaji Relawan</t>
  </si>
  <si>
    <t>BPJS / tgl 22</t>
  </si>
  <si>
    <t>BLM MASUK PENCAICAN PERIODE 1</t>
  </si>
  <si>
    <t xml:space="preserve">Air isi ulang </t>
  </si>
  <si>
    <t>galon</t>
  </si>
  <si>
    <t xml:space="preserve">RM ARMI </t>
  </si>
  <si>
    <t xml:space="preserve">BBM </t>
  </si>
  <si>
    <t>Solar</t>
  </si>
  <si>
    <t>tbg</t>
  </si>
  <si>
    <t>Solar 400rb</t>
  </si>
  <si>
    <t>Minggu 1</t>
  </si>
  <si>
    <t>Minggu 2</t>
  </si>
  <si>
    <t>MITRA</t>
  </si>
  <si>
    <t>pak</t>
  </si>
  <si>
    <t>Jahe</t>
  </si>
  <si>
    <t>Kacang panjang</t>
  </si>
  <si>
    <t>Rambutan</t>
  </si>
  <si>
    <t>Tepung terigu</t>
  </si>
  <si>
    <t>Jeruk</t>
  </si>
  <si>
    <t>Mama Lemon 680ml</t>
  </si>
  <si>
    <t>Tali Rapia k</t>
  </si>
  <si>
    <t>Tali Rapia isi 12 glg</t>
  </si>
  <si>
    <t>ball</t>
  </si>
  <si>
    <t>glg</t>
  </si>
  <si>
    <t xml:space="preserve">Yayasan </t>
  </si>
  <si>
    <t xml:space="preserve">BAHAN BAKU DARI SPPG </t>
  </si>
  <si>
    <t>Wifi/ tgl 20 + admin 3rb</t>
  </si>
  <si>
    <t>Bg Agus</t>
  </si>
  <si>
    <t>Hari : 16 Des 2025</t>
  </si>
  <si>
    <t>Beras '@10kg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</si>
</sst>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.0_-;\-* #,##0.0_-;_-* &quot;-&quot;??_-;_-@_-"/>
    <numFmt numFmtId="165" formatCode="_-&quot;Rp&quot;* #,##0_-;\-&quot;Rp&quot;* #,##0_-;_-&quot;Rp&quot;* &quot;-&quot;??_-;_-@_-"/>
    <numFmt numFmtId="166" formatCode="&quot;Rp&quot;* #,###"/>
    <numFmt numFmtId="167" formatCode="_-[$Rp-421]* #,##0.00_-;\-[$Rp-421]* #,##0.00_-;_-[$Rp-421]* &quot;-&quot;??_-;_-@_-"/>
    <numFmt numFmtId="168" formatCode="_-[$Rp-421]* #,##0_-;\-[$Rp-421]* #,##0_-;_-[$Rp-421]* &quot;-&quot;??_-;_-@_-"/>
    <numFmt numFmtId="169" formatCode="&quot;Rp&quot;#,##0"/>
    <numFmt numFmtId="170" formatCode="_-[$Rp-3809]* #,##0_-;\-[$Rp-3809]* #,##0_-;_-[$Rp-3809]* &quot;-&quot;??_-;_-@_-"/>
    <numFmt numFmtId="171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.5"/>
      <color theme="1"/>
      <name val="Arial"/>
      <family val="2"/>
    </font>
    <font>
      <b/>
      <sz val="9.5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9.5"/>
      <name val="Arial"/>
      <family val="2"/>
    </font>
    <font>
      <i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5">
    <xf numFmtId="0" fontId="0" fillId="0" borderId="0" xfId="0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/>
    <xf numFmtId="164" fontId="7" fillId="0" borderId="9" xfId="1" applyNumberFormat="1" applyFont="1" applyFill="1" applyBorder="1"/>
    <xf numFmtId="164" fontId="7" fillId="0" borderId="9" xfId="1" applyNumberFormat="1" applyFont="1" applyFill="1" applyBorder="1" applyAlignment="1">
      <alignment horizontal="right"/>
    </xf>
    <xf numFmtId="165" fontId="7" fillId="0" borderId="9" xfId="0" applyNumberFormat="1" applyFont="1" applyBorder="1"/>
    <xf numFmtId="166" fontId="7" fillId="0" borderId="9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/>
    <xf numFmtId="164" fontId="7" fillId="0" borderId="11" xfId="1" applyNumberFormat="1" applyFont="1" applyFill="1" applyBorder="1"/>
    <xf numFmtId="164" fontId="7" fillId="0" borderId="11" xfId="1" applyNumberFormat="1" applyFont="1" applyFill="1" applyBorder="1" applyAlignment="1">
      <alignment horizontal="right"/>
    </xf>
    <xf numFmtId="165" fontId="7" fillId="0" borderId="11" xfId="0" applyNumberFormat="1" applyFont="1" applyBorder="1"/>
    <xf numFmtId="166" fontId="7" fillId="0" borderId="11" xfId="0" applyNumberFormat="1" applyFont="1" applyBorder="1" applyAlignment="1">
      <alignment horizontal="center"/>
    </xf>
    <xf numFmtId="1" fontId="8" fillId="0" borderId="12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1" fontId="8" fillId="0" borderId="14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6" fontId="3" fillId="2" borderId="11" xfId="0" applyNumberFormat="1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67" fontId="3" fillId="2" borderId="24" xfId="0" applyNumberFormat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168" fontId="7" fillId="0" borderId="11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9" fillId="0" borderId="0" xfId="0" applyFont="1"/>
    <xf numFmtId="165" fontId="3" fillId="2" borderId="26" xfId="0" applyNumberFormat="1" applyFont="1" applyFill="1" applyBorder="1" applyAlignment="1">
      <alignment vertical="center"/>
    </xf>
    <xf numFmtId="0" fontId="0" fillId="2" borderId="11" xfId="0" applyFill="1" applyBorder="1"/>
    <xf numFmtId="0" fontId="0" fillId="2" borderId="27" xfId="0" applyFill="1" applyBorder="1"/>
    <xf numFmtId="0" fontId="3" fillId="2" borderId="28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0" fillId="0" borderId="14" xfId="0" applyBorder="1"/>
    <xf numFmtId="164" fontId="0" fillId="0" borderId="14" xfId="1" applyNumberFormat="1" applyFont="1" applyFill="1" applyBorder="1"/>
    <xf numFmtId="164" fontId="0" fillId="0" borderId="14" xfId="1" applyNumberFormat="1" applyFont="1" applyFill="1" applyBorder="1" applyAlignment="1">
      <alignment horizontal="right"/>
    </xf>
    <xf numFmtId="169" fontId="0" fillId="0" borderId="14" xfId="0" applyNumberFormat="1" applyBorder="1"/>
    <xf numFmtId="166" fontId="7" fillId="0" borderId="14" xfId="0" applyNumberFormat="1" applyFont="1" applyBorder="1" applyAlignment="1">
      <alignment horizontal="center"/>
    </xf>
    <xf numFmtId="0" fontId="0" fillId="0" borderId="11" xfId="0" applyBorder="1"/>
    <xf numFmtId="164" fontId="0" fillId="0" borderId="11" xfId="1" applyNumberFormat="1" applyFont="1" applyFill="1" applyBorder="1"/>
    <xf numFmtId="164" fontId="0" fillId="0" borderId="11" xfId="1" applyNumberFormat="1" applyFont="1" applyFill="1" applyBorder="1" applyAlignment="1">
      <alignment horizontal="right"/>
    </xf>
    <xf numFmtId="169" fontId="0" fillId="0" borderId="11" xfId="0" applyNumberFormat="1" applyBorder="1"/>
    <xf numFmtId="0" fontId="3" fillId="2" borderId="26" xfId="0" applyFont="1" applyFill="1" applyBorder="1"/>
    <xf numFmtId="0" fontId="3" fillId="5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11" xfId="0" applyNumberFormat="1" applyBorder="1"/>
    <xf numFmtId="165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70" fontId="0" fillId="0" borderId="11" xfId="0" applyNumberFormat="1" applyBorder="1"/>
    <xf numFmtId="166" fontId="0" fillId="0" borderId="11" xfId="0" applyNumberFormat="1" applyBorder="1" applyAlignment="1">
      <alignment horizontal="center"/>
    </xf>
    <xf numFmtId="166" fontId="3" fillId="5" borderId="11" xfId="0" applyNumberFormat="1" applyFont="1" applyFill="1" applyBorder="1" applyAlignment="1">
      <alignment horizontal="center"/>
    </xf>
    <xf numFmtId="0" fontId="3" fillId="5" borderId="11" xfId="0" applyFont="1" applyFill="1" applyBorder="1"/>
    <xf numFmtId="166" fontId="3" fillId="5" borderId="11" xfId="0" applyNumberFormat="1" applyFont="1" applyFill="1" applyBorder="1"/>
    <xf numFmtId="0" fontId="3" fillId="0" borderId="0" xfId="0" applyFont="1" applyAlignment="1">
      <alignment horizontal="center" vertical="center"/>
    </xf>
    <xf numFmtId="166" fontId="0" fillId="0" borderId="11" xfId="0" applyNumberFormat="1" applyBorder="1" applyAlignment="1">
      <alignment vertical="center"/>
    </xf>
    <xf numFmtId="0" fontId="10" fillId="0" borderId="11" xfId="0" applyFont="1" applyBorder="1" applyAlignment="1">
      <alignment vertical="center"/>
    </xf>
    <xf numFmtId="166" fontId="3" fillId="5" borderId="11" xfId="0" applyNumberFormat="1" applyFont="1" applyFill="1" applyBorder="1" applyAlignment="1">
      <alignment vertical="center"/>
    </xf>
    <xf numFmtId="167" fontId="3" fillId="5" borderId="1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68" fontId="0" fillId="0" borderId="1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168" fontId="0" fillId="0" borderId="18" xfId="0" applyNumberForma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center"/>
    </xf>
    <xf numFmtId="168" fontId="7" fillId="0" borderId="3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168" fontId="11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1" fontId="8" fillId="0" borderId="11" xfId="0" applyNumberFormat="1" applyFont="1" applyBorder="1" applyAlignment="1">
      <alignment horizontal="center" vertical="center" wrapText="1"/>
    </xf>
    <xf numFmtId="168" fontId="8" fillId="0" borderId="14" xfId="0" applyNumberFormat="1" applyFont="1" applyBorder="1" applyAlignment="1">
      <alignment vertical="center"/>
    </xf>
    <xf numFmtId="0" fontId="7" fillId="0" borderId="11" xfId="0" applyFont="1" applyBorder="1" applyAlignment="1">
      <alignment horizontal="center"/>
    </xf>
    <xf numFmtId="0" fontId="8" fillId="0" borderId="14" xfId="0" applyFont="1" applyBorder="1" applyAlignment="1">
      <alignment vertical="center"/>
    </xf>
    <xf numFmtId="1" fontId="8" fillId="0" borderId="14" xfId="0" applyNumberFormat="1" applyFont="1" applyBorder="1" applyAlignment="1">
      <alignment vertical="center" wrapText="1"/>
    </xf>
    <xf numFmtId="0" fontId="8" fillId="0" borderId="11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165" fontId="3" fillId="2" borderId="35" xfId="0" applyNumberFormat="1" applyFont="1" applyFill="1" applyBorder="1"/>
    <xf numFmtId="0" fontId="0" fillId="2" borderId="14" xfId="0" applyFill="1" applyBorder="1"/>
    <xf numFmtId="0" fontId="0" fillId="2" borderId="39" xfId="0" applyFill="1" applyBorder="1"/>
    <xf numFmtId="164" fontId="2" fillId="0" borderId="11" xfId="1" applyNumberFormat="1" applyFont="1" applyFill="1" applyBorder="1"/>
    <xf numFmtId="164" fontId="0" fillId="0" borderId="11" xfId="1" applyNumberFormat="1" applyFont="1" applyFill="1" applyBorder="1" applyAlignment="1">
      <alignment horizontal="center" vertical="center"/>
    </xf>
    <xf numFmtId="164" fontId="0" fillId="0" borderId="11" xfId="1" applyNumberFormat="1" applyFont="1" applyFill="1" applyBorder="1" applyAlignment="1">
      <alignment horizontal="right" vertical="center"/>
    </xf>
    <xf numFmtId="165" fontId="0" fillId="0" borderId="11" xfId="0" applyNumberFormat="1" applyBorder="1" applyAlignment="1">
      <alignment horizontal="center" vertical="center"/>
    </xf>
    <xf numFmtId="166" fontId="7" fillId="0" borderId="11" xfId="0" applyNumberFormat="1" applyFont="1" applyBorder="1" applyAlignment="1">
      <alignment horizontal="center" vertical="center"/>
    </xf>
    <xf numFmtId="166" fontId="8" fillId="0" borderId="1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vertical="center"/>
    </xf>
    <xf numFmtId="164" fontId="0" fillId="0" borderId="11" xfId="1" applyNumberFormat="1" applyFont="1" applyFill="1" applyBorder="1" applyAlignment="1">
      <alignment vertical="center"/>
    </xf>
    <xf numFmtId="165" fontId="0" fillId="0" borderId="11" xfId="0" applyNumberFormat="1" applyBorder="1" applyAlignment="1">
      <alignment vertical="center"/>
    </xf>
    <xf numFmtId="166" fontId="8" fillId="0" borderId="1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66" fontId="8" fillId="0" borderId="12" xfId="0" applyNumberFormat="1" applyFont="1" applyBorder="1" applyAlignment="1">
      <alignment vertical="center" wrapText="1"/>
    </xf>
    <xf numFmtId="0" fontId="8" fillId="0" borderId="12" xfId="0" applyFont="1" applyBorder="1" applyAlignment="1">
      <alignment vertical="center"/>
    </xf>
    <xf numFmtId="2" fontId="8" fillId="0" borderId="12" xfId="0" applyNumberFormat="1" applyFont="1" applyBorder="1" applyAlignment="1">
      <alignment vertical="center" wrapText="1"/>
    </xf>
    <xf numFmtId="0" fontId="7" fillId="0" borderId="30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168" fontId="7" fillId="0" borderId="35" xfId="0" applyNumberFormat="1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170" fontId="3" fillId="2" borderId="26" xfId="0" applyNumberFormat="1" applyFont="1" applyFill="1" applyBorder="1"/>
    <xf numFmtId="0" fontId="0" fillId="0" borderId="11" xfId="0" applyBorder="1" applyAlignment="1">
      <alignment vertical="center"/>
    </xf>
    <xf numFmtId="166" fontId="7" fillId="0" borderId="9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0" fillId="0" borderId="11" xfId="1" applyNumberFormat="1" applyFont="1" applyFill="1" applyBorder="1" applyAlignment="1">
      <alignment horizontal="center" vertical="center"/>
    </xf>
    <xf numFmtId="164" fontId="0" fillId="0" borderId="11" xfId="1" applyNumberFormat="1" applyFont="1" applyFill="1" applyBorder="1" applyAlignment="1">
      <alignment horizontal="center"/>
    </xf>
    <xf numFmtId="168" fontId="8" fillId="0" borderId="11" xfId="0" applyNumberFormat="1" applyFont="1" applyBorder="1" applyAlignment="1">
      <alignment vertical="center"/>
    </xf>
    <xf numFmtId="165" fontId="3" fillId="2" borderId="26" xfId="0" applyNumberFormat="1" applyFont="1" applyFill="1" applyBorder="1"/>
    <xf numFmtId="0" fontId="0" fillId="0" borderId="11" xfId="1" applyNumberFormat="1" applyFont="1" applyFill="1" applyBorder="1" applyAlignment="1">
      <alignment horizontal="center" vertical="center"/>
    </xf>
    <xf numFmtId="166" fontId="8" fillId="0" borderId="12" xfId="0" applyNumberFormat="1" applyFont="1" applyBorder="1" applyAlignment="1">
      <alignment vertical="center"/>
    </xf>
    <xf numFmtId="0" fontId="7" fillId="0" borderId="35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168" fontId="8" fillId="0" borderId="35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/>
    </xf>
    <xf numFmtId="0" fontId="0" fillId="0" borderId="14" xfId="0" applyBorder="1" applyAlignment="1">
      <alignment vertical="center"/>
    </xf>
    <xf numFmtId="164" fontId="0" fillId="0" borderId="14" xfId="1" applyNumberFormat="1" applyFont="1" applyFill="1" applyBorder="1" applyAlignment="1">
      <alignment vertical="center"/>
    </xf>
    <xf numFmtId="164" fontId="0" fillId="0" borderId="14" xfId="1" applyNumberFormat="1" applyFont="1" applyFill="1" applyBorder="1" applyAlignment="1">
      <alignment horizontal="right" vertical="center"/>
    </xf>
    <xf numFmtId="166" fontId="7" fillId="0" borderId="14" xfId="0" applyNumberFormat="1" applyFont="1" applyBorder="1" applyAlignment="1">
      <alignment horizontal="center" vertical="center"/>
    </xf>
    <xf numFmtId="1" fontId="8" fillId="0" borderId="11" xfId="0" applyNumberFormat="1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164" fontId="7" fillId="0" borderId="11" xfId="1" applyNumberFormat="1" applyFont="1" applyFill="1" applyBorder="1" applyAlignment="1">
      <alignment vertical="center"/>
    </xf>
    <xf numFmtId="164" fontId="7" fillId="0" borderId="11" xfId="1" applyNumberFormat="1" applyFont="1" applyFill="1" applyBorder="1" applyAlignment="1">
      <alignment horizontal="right" vertical="center"/>
    </xf>
    <xf numFmtId="165" fontId="7" fillId="0" borderId="11" xfId="0" applyNumberFormat="1" applyFont="1" applyBorder="1" applyAlignment="1">
      <alignment vertical="center"/>
    </xf>
    <xf numFmtId="166" fontId="8" fillId="0" borderId="14" xfId="0" applyNumberFormat="1" applyFont="1" applyBorder="1" applyAlignment="1">
      <alignment vertical="center" wrapText="1"/>
    </xf>
    <xf numFmtId="1" fontId="8" fillId="0" borderId="14" xfId="0" applyNumberFormat="1" applyFont="1" applyBorder="1" applyAlignment="1">
      <alignment vertical="center"/>
    </xf>
    <xf numFmtId="0" fontId="0" fillId="0" borderId="11" xfId="1" applyNumberFormat="1" applyFont="1" applyFill="1" applyBorder="1" applyAlignment="1">
      <alignment horizontal="center"/>
    </xf>
    <xf numFmtId="0" fontId="8" fillId="0" borderId="30" xfId="0" applyFont="1" applyBorder="1" applyAlignment="1">
      <alignment horizontal="center" vertical="center"/>
    </xf>
    <xf numFmtId="164" fontId="0" fillId="0" borderId="14" xfId="1" applyNumberFormat="1" applyFont="1" applyFill="1" applyBorder="1" applyAlignment="1">
      <alignment horizontal="center"/>
    </xf>
    <xf numFmtId="165" fontId="0" fillId="0" borderId="14" xfId="0" applyNumberFormat="1" applyBorder="1"/>
    <xf numFmtId="0" fontId="7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168" fontId="7" fillId="0" borderId="1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/>
    <xf numFmtId="0" fontId="12" fillId="0" borderId="0" xfId="0" applyFont="1" applyAlignment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4" fillId="0" borderId="46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16" fontId="12" fillId="0" borderId="29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vertical="center"/>
    </xf>
    <xf numFmtId="0" fontId="15" fillId="0" borderId="15" xfId="0" applyFont="1" applyBorder="1" applyAlignment="1">
      <alignment horizontal="center" vertical="center"/>
    </xf>
    <xf numFmtId="16" fontId="12" fillId="0" borderId="10" xfId="0" applyNumberFormat="1" applyFont="1" applyBorder="1" applyAlignment="1">
      <alignment horizontal="center" vertical="center"/>
    </xf>
    <xf numFmtId="165" fontId="12" fillId="0" borderId="11" xfId="0" applyNumberFormat="1" applyFont="1" applyBorder="1" applyAlignment="1">
      <alignment vertical="center"/>
    </xf>
    <xf numFmtId="0" fontId="15" fillId="0" borderId="19" xfId="0" applyFont="1" applyBorder="1" applyAlignment="1">
      <alignment horizontal="center" vertical="center"/>
    </xf>
    <xf numFmtId="0" fontId="15" fillId="0" borderId="19" xfId="0" applyFont="1" applyBorder="1" applyAlignment="1">
      <alignment vertical="center"/>
    </xf>
    <xf numFmtId="16" fontId="12" fillId="0" borderId="47" xfId="0" applyNumberFormat="1" applyFont="1" applyBorder="1" applyAlignment="1">
      <alignment horizontal="center" vertical="center"/>
    </xf>
    <xf numFmtId="165" fontId="12" fillId="0" borderId="48" xfId="0" applyNumberFormat="1" applyFont="1" applyBorder="1" applyAlignment="1">
      <alignment vertical="center"/>
    </xf>
    <xf numFmtId="0" fontId="15" fillId="0" borderId="49" xfId="0" applyFont="1" applyBorder="1" applyAlignment="1">
      <alignment vertical="center"/>
    </xf>
    <xf numFmtId="165" fontId="12" fillId="0" borderId="35" xfId="0" applyNumberFormat="1" applyFont="1" applyBorder="1" applyAlignment="1">
      <alignment vertical="center"/>
    </xf>
    <xf numFmtId="165" fontId="12" fillId="0" borderId="26" xfId="0" applyNumberFormat="1" applyFont="1" applyBorder="1" applyAlignment="1">
      <alignment vertical="center"/>
    </xf>
    <xf numFmtId="165" fontId="12" fillId="0" borderId="50" xfId="0" applyNumberFormat="1" applyFont="1" applyBorder="1" applyAlignment="1">
      <alignment vertical="center"/>
    </xf>
    <xf numFmtId="0" fontId="5" fillId="0" borderId="42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165" fontId="14" fillId="0" borderId="51" xfId="0" applyNumberFormat="1" applyFont="1" applyBorder="1" applyAlignment="1">
      <alignment vertical="center"/>
    </xf>
    <xf numFmtId="168" fontId="7" fillId="0" borderId="35" xfId="0" applyNumberFormat="1" applyFont="1" applyBorder="1" applyAlignment="1">
      <alignment horizontal="center"/>
    </xf>
    <xf numFmtId="168" fontId="8" fillId="0" borderId="35" xfId="0" applyNumberFormat="1" applyFont="1" applyBorder="1" applyAlignment="1">
      <alignment horizontal="center"/>
    </xf>
    <xf numFmtId="171" fontId="0" fillId="0" borderId="0" xfId="1" applyNumberFormat="1" applyFont="1" applyAlignment="1">
      <alignment vertical="center"/>
    </xf>
    <xf numFmtId="0" fontId="17" fillId="0" borderId="0" xfId="0" applyFont="1"/>
    <xf numFmtId="0" fontId="4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165" fontId="17" fillId="0" borderId="0" xfId="1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165" fontId="18" fillId="0" borderId="0" xfId="1" applyNumberFormat="1" applyFont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166" fontId="8" fillId="0" borderId="6" xfId="0" applyNumberFormat="1" applyFont="1" applyBorder="1" applyAlignment="1">
      <alignment horizontal="center" vertical="center" wrapText="1"/>
    </xf>
    <xf numFmtId="166" fontId="8" fillId="0" borderId="12" xfId="0" applyNumberFormat="1" applyFont="1" applyBorder="1" applyAlignment="1">
      <alignment horizontal="center" vertical="center" wrapText="1"/>
    </xf>
    <xf numFmtId="166" fontId="8" fillId="0" borderId="14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 wrapText="1"/>
    </xf>
    <xf numFmtId="1" fontId="8" fillId="0" borderId="12" xfId="0" applyNumberFormat="1" applyFont="1" applyBorder="1" applyAlignment="1">
      <alignment horizontal="center" vertical="center" wrapText="1"/>
    </xf>
    <xf numFmtId="1" fontId="8" fillId="0" borderId="14" xfId="0" applyNumberFormat="1" applyFont="1" applyBorder="1" applyAlignment="1">
      <alignment horizontal="center" vertical="center" wrapText="1"/>
    </xf>
    <xf numFmtId="166" fontId="8" fillId="0" borderId="6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left" vertical="center"/>
    </xf>
    <xf numFmtId="0" fontId="6" fillId="3" borderId="21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2" fontId="8" fillId="0" borderId="6" xfId="0" applyNumberFormat="1" applyFont="1" applyBorder="1" applyAlignment="1">
      <alignment horizontal="center" vertical="center" wrapText="1"/>
    </xf>
    <xf numFmtId="2" fontId="8" fillId="0" borderId="12" xfId="0" applyNumberFormat="1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0" fillId="0" borderId="31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30" xfId="0" applyFont="1" applyBorder="1" applyAlignment="1">
      <alignment horizontal="center" vertical="center"/>
    </xf>
    <xf numFmtId="0" fontId="3" fillId="5" borderId="26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3" fillId="5" borderId="2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3" fillId="6" borderId="33" xfId="0" applyFont="1" applyFill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/>
    </xf>
    <xf numFmtId="0" fontId="3" fillId="6" borderId="35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  <xf numFmtId="0" fontId="3" fillId="6" borderId="36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8" fillId="0" borderId="3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1" fontId="8" fillId="0" borderId="11" xfId="0" applyNumberFormat="1" applyFont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/>
    </xf>
    <xf numFmtId="166" fontId="8" fillId="0" borderId="12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1" fontId="8" fillId="0" borderId="31" xfId="0" applyNumberFormat="1" applyFont="1" applyBorder="1" applyAlignment="1">
      <alignment horizontal="center" vertical="center" wrapText="1"/>
    </xf>
    <xf numFmtId="168" fontId="7" fillId="0" borderId="31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168" fontId="8" fillId="0" borderId="6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 wrapText="1"/>
    </xf>
    <xf numFmtId="166" fontId="8" fillId="0" borderId="14" xfId="0" applyNumberFormat="1" applyFont="1" applyBorder="1" applyAlignment="1">
      <alignment horizontal="center" vertical="center"/>
    </xf>
    <xf numFmtId="168" fontId="8" fillId="0" borderId="31" xfId="0" applyNumberFormat="1" applyFont="1" applyBorder="1" applyAlignment="1">
      <alignment horizontal="center" vertical="center"/>
    </xf>
    <xf numFmtId="168" fontId="8" fillId="0" borderId="14" xfId="0" applyNumberFormat="1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68" fontId="8" fillId="0" borderId="12" xfId="0" applyNumberFormat="1" applyFont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left" vertical="center"/>
    </xf>
    <xf numFmtId="0" fontId="19" fillId="0" borderId="11" xfId="0" applyFont="1" applyFill="1" applyBorder="1" applyAlignment="1">
      <alignment horizontal="center" vertical="center"/>
    </xf>
    <xf numFmtId="168" fontId="19" fillId="0" borderId="11" xfId="0" applyNumberFormat="1" applyFont="1" applyFill="1" applyBorder="1" applyAlignment="1">
      <alignment horizontal="center" vertical="center"/>
    </xf>
    <xf numFmtId="0" fontId="20" fillId="0" borderId="0" xfId="0" applyFont="1" applyFill="1"/>
    <xf numFmtId="0" fontId="11" fillId="0" borderId="0" xfId="0" applyFont="1" applyFill="1"/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5" fillId="0" borderId="51" xfId="0" applyNumberFormat="1" applyFont="1" applyBorder="1" applyAlignment="1">
      <alignment vertical="center"/>
    </xf>
    <xf numFmtId="165" fontId="16" fillId="0" borderId="46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vertical="center"/>
    </xf>
    <xf numFmtId="0" fontId="3" fillId="2" borderId="2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</xdr:colOff>
      <xdr:row>2</xdr:row>
      <xdr:rowOff>8660</xdr:rowOff>
    </xdr:from>
    <xdr:to>
      <xdr:col>12</xdr:col>
      <xdr:colOff>612338</xdr:colOff>
      <xdr:row>5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299C5D-C1D5-4D9A-8671-A7C9CD1E9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9576" y="389660"/>
          <a:ext cx="612337" cy="629516"/>
        </a:xfrm>
        <a:prstGeom prst="rect">
          <a:avLst/>
        </a:prstGeom>
      </xdr:spPr>
    </xdr:pic>
    <xdr:clientData/>
  </xdr:twoCellAnchor>
  <xdr:twoCellAnchor editAs="oneCell">
    <xdr:from>
      <xdr:col>1</xdr:col>
      <xdr:colOff>216477</xdr:colOff>
      <xdr:row>1</xdr:row>
      <xdr:rowOff>180109</xdr:rowOff>
    </xdr:from>
    <xdr:to>
      <xdr:col>2</xdr:col>
      <xdr:colOff>502227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D0AC72-3107-4D7E-813C-5BCD2BABF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4677" y="370609"/>
          <a:ext cx="666750" cy="6580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1047751</xdr:colOff>
      <xdr:row>2</xdr:row>
      <xdr:rowOff>8659</xdr:rowOff>
    </xdr:from>
    <xdr:to>
      <xdr:col>13</xdr:col>
      <xdr:colOff>2738</xdr:colOff>
      <xdr:row>5</xdr:row>
      <xdr:rowOff>167985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44ABB4-E489-43B1-85C2-62371B6C4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77901" y="389659"/>
          <a:ext cx="612336" cy="730826"/>
        </a:xfrm>
        <a:prstGeom prst="rect">
          <a:avLst/>
        </a:prstGeom>
      </xdr:spPr>
    </xdr:pic>
    <xdr:clientData/>
  </xdr:twoCellAnchor>
  <xdr:twoCellAnchor editAs="oneCell">
    <xdr:from>
      <xdr:col>2</xdr:col>
      <xdr:colOff>121227</xdr:colOff>
      <xdr:row>2</xdr:row>
      <xdr:rowOff>8660</xdr:rowOff>
    </xdr:from>
    <xdr:to>
      <xdr:col>2</xdr:col>
      <xdr:colOff>787977</xdr:colOff>
      <xdr:row>5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2D5D48-DDD2-4FA7-A83A-EDD82BEBA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0427" y="389660"/>
          <a:ext cx="666750" cy="6485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504826</xdr:colOff>
      <xdr:row>1</xdr:row>
      <xdr:rowOff>161059</xdr:rowOff>
    </xdr:from>
    <xdr:to>
      <xdr:col>12</xdr:col>
      <xdr:colOff>507562</xdr:colOff>
      <xdr:row>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3DF983-A82B-491F-B504-D2FCCD65A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8851" y="351559"/>
          <a:ext cx="612336" cy="705716"/>
        </a:xfrm>
        <a:prstGeom prst="rect">
          <a:avLst/>
        </a:prstGeom>
      </xdr:spPr>
    </xdr:pic>
    <xdr:clientData/>
  </xdr:twoCellAnchor>
  <xdr:twoCellAnchor editAs="oneCell">
    <xdr:from>
      <xdr:col>1</xdr:col>
      <xdr:colOff>264102</xdr:colOff>
      <xdr:row>1</xdr:row>
      <xdr:rowOff>189634</xdr:rowOff>
    </xdr:from>
    <xdr:to>
      <xdr:col>2</xdr:col>
      <xdr:colOff>549852</xdr:colOff>
      <xdr:row>5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EDBAF-B7FB-4C19-A963-05EDCE486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2302" y="380134"/>
          <a:ext cx="666750" cy="6771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400051</xdr:colOff>
      <xdr:row>1</xdr:row>
      <xdr:rowOff>189634</xdr:rowOff>
    </xdr:from>
    <xdr:to>
      <xdr:col>12</xdr:col>
      <xdr:colOff>402787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2F17EA-E582-4A5F-9D9E-66B773276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77851" y="380134"/>
          <a:ext cx="612336" cy="648566"/>
        </a:xfrm>
        <a:prstGeom prst="rect">
          <a:avLst/>
        </a:prstGeom>
      </xdr:spPr>
    </xdr:pic>
    <xdr:clientData/>
  </xdr:twoCellAnchor>
  <xdr:twoCellAnchor editAs="oneCell">
    <xdr:from>
      <xdr:col>1</xdr:col>
      <xdr:colOff>340302</xdr:colOff>
      <xdr:row>1</xdr:row>
      <xdr:rowOff>170584</xdr:rowOff>
    </xdr:from>
    <xdr:to>
      <xdr:col>2</xdr:col>
      <xdr:colOff>626052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5454A8-D07B-40EC-948F-13F233FBB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8502" y="361084"/>
          <a:ext cx="666750" cy="6580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400051</xdr:colOff>
      <xdr:row>1</xdr:row>
      <xdr:rowOff>189636</xdr:rowOff>
    </xdr:from>
    <xdr:to>
      <xdr:col>12</xdr:col>
      <xdr:colOff>402787</xdr:colOff>
      <xdr:row>5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A0E7D1-1423-4D6D-B29C-3421936BB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54026" y="380136"/>
          <a:ext cx="612336" cy="658090"/>
        </a:xfrm>
        <a:prstGeom prst="rect">
          <a:avLst/>
        </a:prstGeom>
      </xdr:spPr>
    </xdr:pic>
    <xdr:clientData/>
  </xdr:twoCellAnchor>
  <xdr:twoCellAnchor editAs="oneCell">
    <xdr:from>
      <xdr:col>1</xdr:col>
      <xdr:colOff>206952</xdr:colOff>
      <xdr:row>2</xdr:row>
      <xdr:rowOff>8660</xdr:rowOff>
    </xdr:from>
    <xdr:to>
      <xdr:col>2</xdr:col>
      <xdr:colOff>457200</xdr:colOff>
      <xdr:row>5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1E8C6A-7490-4F12-809A-C0D3A5200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5152" y="389660"/>
          <a:ext cx="631248" cy="6580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400051</xdr:colOff>
      <xdr:row>1</xdr:row>
      <xdr:rowOff>189637</xdr:rowOff>
    </xdr:from>
    <xdr:to>
      <xdr:col>12</xdr:col>
      <xdr:colOff>402787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79138F-A3A7-4529-AD8D-7E4062BFA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9251" y="380137"/>
          <a:ext cx="612336" cy="629514"/>
        </a:xfrm>
        <a:prstGeom prst="rect">
          <a:avLst/>
        </a:prstGeom>
      </xdr:spPr>
    </xdr:pic>
    <xdr:clientData/>
  </xdr:twoCellAnchor>
  <xdr:twoCellAnchor editAs="oneCell">
    <xdr:from>
      <xdr:col>1</xdr:col>
      <xdr:colOff>206952</xdr:colOff>
      <xdr:row>2</xdr:row>
      <xdr:rowOff>8660</xdr:rowOff>
    </xdr:from>
    <xdr:to>
      <xdr:col>2</xdr:col>
      <xdr:colOff>457200</xdr:colOff>
      <xdr:row>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D43C82-075A-4D6B-8247-522F4871C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5152" y="389660"/>
          <a:ext cx="631248" cy="6485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400051</xdr:colOff>
      <xdr:row>1</xdr:row>
      <xdr:rowOff>189635</xdr:rowOff>
    </xdr:from>
    <xdr:to>
      <xdr:col>12</xdr:col>
      <xdr:colOff>402787</xdr:colOff>
      <xdr:row>5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43940F-321E-4F95-B5C3-5BFF7CA9B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1" y="380135"/>
          <a:ext cx="612336" cy="667615"/>
        </a:xfrm>
        <a:prstGeom prst="rect">
          <a:avLst/>
        </a:prstGeom>
      </xdr:spPr>
    </xdr:pic>
    <xdr:clientData/>
  </xdr:twoCellAnchor>
  <xdr:twoCellAnchor editAs="oneCell">
    <xdr:from>
      <xdr:col>1</xdr:col>
      <xdr:colOff>206951</xdr:colOff>
      <xdr:row>2</xdr:row>
      <xdr:rowOff>8662</xdr:rowOff>
    </xdr:from>
    <xdr:to>
      <xdr:col>2</xdr:col>
      <xdr:colOff>523874</xdr:colOff>
      <xdr:row>5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B100F5-32F5-4266-986A-0B75FDDD6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5151" y="389662"/>
          <a:ext cx="697923" cy="66761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400050</xdr:colOff>
      <xdr:row>1</xdr:row>
      <xdr:rowOff>189635</xdr:rowOff>
    </xdr:from>
    <xdr:to>
      <xdr:col>12</xdr:col>
      <xdr:colOff>457199</xdr:colOff>
      <xdr:row>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6F93B4-C1B8-4475-97DC-B6ABF21F9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77850" y="380135"/>
          <a:ext cx="666749" cy="677140"/>
        </a:xfrm>
        <a:prstGeom prst="rect">
          <a:avLst/>
        </a:prstGeom>
      </xdr:spPr>
    </xdr:pic>
    <xdr:clientData/>
  </xdr:twoCellAnchor>
  <xdr:twoCellAnchor editAs="oneCell">
    <xdr:from>
      <xdr:col>1</xdr:col>
      <xdr:colOff>206951</xdr:colOff>
      <xdr:row>2</xdr:row>
      <xdr:rowOff>8662</xdr:rowOff>
    </xdr:from>
    <xdr:to>
      <xdr:col>2</xdr:col>
      <xdr:colOff>542925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A3EF10-B67E-4A3B-94A5-4D37DFCB0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5151" y="389662"/>
          <a:ext cx="716974" cy="6295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342900</xdr:colOff>
      <xdr:row>1</xdr:row>
      <xdr:rowOff>189635</xdr:rowOff>
    </xdr:from>
    <xdr:to>
      <xdr:col>12</xdr:col>
      <xdr:colOff>402787</xdr:colOff>
      <xdr:row>5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55F717-CC76-452A-90A0-FD64CB7ED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34975" y="380135"/>
          <a:ext cx="669487" cy="667615"/>
        </a:xfrm>
        <a:prstGeom prst="rect">
          <a:avLst/>
        </a:prstGeom>
      </xdr:spPr>
    </xdr:pic>
    <xdr:clientData/>
  </xdr:twoCellAnchor>
  <xdr:twoCellAnchor editAs="oneCell">
    <xdr:from>
      <xdr:col>1</xdr:col>
      <xdr:colOff>283152</xdr:colOff>
      <xdr:row>2</xdr:row>
      <xdr:rowOff>8663</xdr:rowOff>
    </xdr:from>
    <xdr:to>
      <xdr:col>2</xdr:col>
      <xdr:colOff>562948</xdr:colOff>
      <xdr:row>4</xdr:row>
      <xdr:rowOff>190501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B119E6-9465-4E0F-8BFF-22EACEB35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1352" y="389663"/>
          <a:ext cx="660796" cy="61998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342900</xdr:colOff>
      <xdr:row>1</xdr:row>
      <xdr:rowOff>189636</xdr:rowOff>
    </xdr:from>
    <xdr:to>
      <xdr:col>12</xdr:col>
      <xdr:colOff>402787</xdr:colOff>
      <xdr:row>5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B934-C562-4DA5-A0C4-1060CE3F2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34975" y="380136"/>
          <a:ext cx="669487" cy="639040"/>
        </a:xfrm>
        <a:prstGeom prst="rect">
          <a:avLst/>
        </a:prstGeom>
      </xdr:spPr>
    </xdr:pic>
    <xdr:clientData/>
  </xdr:twoCellAnchor>
  <xdr:twoCellAnchor editAs="oneCell">
    <xdr:from>
      <xdr:col>1</xdr:col>
      <xdr:colOff>283152</xdr:colOff>
      <xdr:row>2</xdr:row>
      <xdr:rowOff>8663</xdr:rowOff>
    </xdr:from>
    <xdr:to>
      <xdr:col>2</xdr:col>
      <xdr:colOff>562948</xdr:colOff>
      <xdr:row>5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01B169-E23A-44F4-9FB5-E8F0A7641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1352" y="389663"/>
          <a:ext cx="660796" cy="63903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342900</xdr:colOff>
      <xdr:row>1</xdr:row>
      <xdr:rowOff>189636</xdr:rowOff>
    </xdr:from>
    <xdr:to>
      <xdr:col>12</xdr:col>
      <xdr:colOff>402787</xdr:colOff>
      <xdr:row>4</xdr:row>
      <xdr:rowOff>176743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B7803A-ED8E-47D5-A533-7879654A7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34975" y="380136"/>
          <a:ext cx="669487" cy="639040"/>
        </a:xfrm>
        <a:prstGeom prst="rect">
          <a:avLst/>
        </a:prstGeom>
      </xdr:spPr>
    </xdr:pic>
    <xdr:clientData/>
  </xdr:twoCellAnchor>
  <xdr:twoCellAnchor editAs="oneCell">
    <xdr:from>
      <xdr:col>1</xdr:col>
      <xdr:colOff>283152</xdr:colOff>
      <xdr:row>2</xdr:row>
      <xdr:rowOff>8663</xdr:rowOff>
    </xdr:from>
    <xdr:to>
      <xdr:col>2</xdr:col>
      <xdr:colOff>660400</xdr:colOff>
      <xdr:row>4</xdr:row>
      <xdr:rowOff>186268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5E66C8-E7FA-4601-AE6C-0BDEB9105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752" y="381196"/>
          <a:ext cx="766715" cy="6856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342900</xdr:colOff>
      <xdr:row>1</xdr:row>
      <xdr:rowOff>189636</xdr:rowOff>
    </xdr:from>
    <xdr:to>
      <xdr:col>12</xdr:col>
      <xdr:colOff>402787</xdr:colOff>
      <xdr:row>5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8D6FF5-923E-4A4F-A48C-1B02D85C6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34975" y="380136"/>
          <a:ext cx="669487" cy="705715"/>
        </a:xfrm>
        <a:prstGeom prst="rect">
          <a:avLst/>
        </a:prstGeom>
      </xdr:spPr>
    </xdr:pic>
    <xdr:clientData/>
  </xdr:twoCellAnchor>
  <xdr:twoCellAnchor editAs="oneCell">
    <xdr:from>
      <xdr:col>1</xdr:col>
      <xdr:colOff>283152</xdr:colOff>
      <xdr:row>2</xdr:row>
      <xdr:rowOff>8663</xdr:rowOff>
    </xdr:from>
    <xdr:to>
      <xdr:col>2</xdr:col>
      <xdr:colOff>562948</xdr:colOff>
      <xdr:row>5</xdr:row>
      <xdr:rowOff>142876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0CBFA7-9EBC-4F37-9EC5-77A28884B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1352" y="389663"/>
          <a:ext cx="660796" cy="7057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60BA-2D89-430D-A4DF-09297794EFC7}">
  <dimension ref="B3:U41"/>
  <sheetViews>
    <sheetView topLeftCell="A18" zoomScale="90" zoomScaleNormal="90" workbookViewId="0">
      <selection activeCell="C30" sqref="C30"/>
    </sheetView>
  </sheetViews>
  <sheetFormatPr defaultRowHeight="14.4" x14ac:dyDescent="0.3"/>
  <cols>
    <col min="1" max="1" width="12.5546875" customWidth="1"/>
    <col min="2" max="2" width="5.6640625" customWidth="1"/>
    <col min="3" max="3" width="15.5546875" customWidth="1"/>
    <col min="4" max="4" width="6.88671875" customWidth="1"/>
    <col min="5" max="5" width="9" customWidth="1"/>
    <col min="6" max="9" width="15.6640625" customWidth="1"/>
    <col min="10" max="10" width="20.5546875" customWidth="1"/>
    <col min="11" max="11" width="21.33203125" customWidth="1"/>
    <col min="12" max="13" width="10.88671875" customWidth="1"/>
    <col min="19" max="19" width="14.33203125" customWidth="1"/>
    <col min="20" max="20" width="21.109375" bestFit="1" customWidth="1"/>
    <col min="21" max="21" width="12.33203125" customWidth="1"/>
  </cols>
  <sheetData>
    <row r="3" spans="2:13" ht="18" x14ac:dyDescent="0.35">
      <c r="B3" s="184" t="s">
        <v>0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</row>
    <row r="4" spans="2:13" ht="15.6" x14ac:dyDescent="0.3">
      <c r="B4" s="185" t="s">
        <v>1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</row>
    <row r="5" spans="2:13" ht="15.6" x14ac:dyDescent="0.3">
      <c r="B5" s="185" t="s">
        <v>2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</row>
    <row r="6" spans="2:13" x14ac:dyDescent="0.3">
      <c r="B6" s="186" t="s">
        <v>3</v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</row>
    <row r="7" spans="2:13" ht="15" thickBot="1" x14ac:dyDescent="0.35">
      <c r="B7" s="187" t="s">
        <v>4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</row>
    <row r="8" spans="2:13" ht="15" thickBot="1" x14ac:dyDescent="0.35">
      <c r="B8" s="188" t="s">
        <v>5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90"/>
    </row>
    <row r="9" spans="2:13" ht="15" thickBot="1" x14ac:dyDescent="0.35">
      <c r="B9" s="1" t="s">
        <v>6</v>
      </c>
      <c r="C9" s="2" t="s">
        <v>7</v>
      </c>
      <c r="D9" s="2" t="s">
        <v>8</v>
      </c>
      <c r="E9" s="2" t="s">
        <v>9</v>
      </c>
      <c r="F9" s="2" t="s">
        <v>10</v>
      </c>
      <c r="G9" s="2" t="s">
        <v>11</v>
      </c>
      <c r="H9" s="2" t="s">
        <v>12</v>
      </c>
      <c r="I9" s="2" t="s">
        <v>13</v>
      </c>
      <c r="J9" s="2" t="s">
        <v>14</v>
      </c>
      <c r="K9" s="2" t="s">
        <v>15</v>
      </c>
      <c r="L9" s="2" t="s">
        <v>16</v>
      </c>
      <c r="M9" s="3" t="s">
        <v>17</v>
      </c>
    </row>
    <row r="10" spans="2:13" x14ac:dyDescent="0.3">
      <c r="B10" s="4">
        <v>1</v>
      </c>
      <c r="C10" s="5" t="s">
        <v>18</v>
      </c>
      <c r="D10" s="6">
        <v>9</v>
      </c>
      <c r="E10" s="7" t="s">
        <v>19</v>
      </c>
      <c r="F10" s="8">
        <v>155000</v>
      </c>
      <c r="G10" s="9">
        <f>F10*D10</f>
        <v>1395000</v>
      </c>
      <c r="H10" s="191" t="s">
        <v>20</v>
      </c>
      <c r="I10" s="194" t="s">
        <v>21</v>
      </c>
      <c r="J10" s="197" t="s">
        <v>22</v>
      </c>
      <c r="K10" s="200">
        <f>SUM(G10:G32)</f>
        <v>10720250</v>
      </c>
      <c r="L10" s="203"/>
      <c r="M10" s="181"/>
    </row>
    <row r="11" spans="2:13" x14ac:dyDescent="0.3">
      <c r="B11" s="10">
        <v>2</v>
      </c>
      <c r="C11" s="11" t="s">
        <v>23</v>
      </c>
      <c r="D11" s="12">
        <v>5</v>
      </c>
      <c r="E11" s="13" t="s">
        <v>24</v>
      </c>
      <c r="F11" s="14">
        <v>21840</v>
      </c>
      <c r="G11" s="15">
        <f t="shared" ref="G11:G25" si="0">F11*D11</f>
        <v>109200</v>
      </c>
      <c r="H11" s="192"/>
      <c r="I11" s="195"/>
      <c r="J11" s="198"/>
      <c r="K11" s="201"/>
      <c r="L11" s="204"/>
      <c r="M11" s="182"/>
    </row>
    <row r="12" spans="2:13" x14ac:dyDescent="0.3">
      <c r="B12" s="10">
        <v>3</v>
      </c>
      <c r="C12" s="11" t="s">
        <v>25</v>
      </c>
      <c r="D12" s="12">
        <v>12</v>
      </c>
      <c r="E12" s="13" t="s">
        <v>24</v>
      </c>
      <c r="F12" s="14">
        <v>42000</v>
      </c>
      <c r="G12" s="15">
        <f t="shared" si="0"/>
        <v>504000</v>
      </c>
      <c r="H12" s="192"/>
      <c r="I12" s="195"/>
      <c r="J12" s="198"/>
      <c r="K12" s="201"/>
      <c r="L12" s="204"/>
      <c r="M12" s="182"/>
    </row>
    <row r="13" spans="2:13" x14ac:dyDescent="0.3">
      <c r="B13" s="10">
        <v>4</v>
      </c>
      <c r="C13" s="11" t="s">
        <v>26</v>
      </c>
      <c r="D13" s="12">
        <v>10</v>
      </c>
      <c r="E13" s="13" t="s">
        <v>24</v>
      </c>
      <c r="F13" s="14">
        <v>42000</v>
      </c>
      <c r="G13" s="15">
        <f t="shared" si="0"/>
        <v>420000</v>
      </c>
      <c r="H13" s="192"/>
      <c r="I13" s="195"/>
      <c r="J13" s="198"/>
      <c r="K13" s="201"/>
      <c r="L13" s="204"/>
      <c r="M13" s="182"/>
    </row>
    <row r="14" spans="2:13" x14ac:dyDescent="0.3">
      <c r="B14" s="10">
        <v>5</v>
      </c>
      <c r="C14" s="11" t="s">
        <v>27</v>
      </c>
      <c r="D14" s="12">
        <v>10</v>
      </c>
      <c r="E14" s="13" t="s">
        <v>24</v>
      </c>
      <c r="F14" s="14">
        <v>46200</v>
      </c>
      <c r="G14" s="15">
        <f>F14*D14</f>
        <v>462000</v>
      </c>
      <c r="H14" s="192"/>
      <c r="I14" s="195"/>
      <c r="J14" s="198"/>
      <c r="K14" s="201"/>
      <c r="L14" s="204"/>
      <c r="M14" s="182"/>
    </row>
    <row r="15" spans="2:13" x14ac:dyDescent="0.3">
      <c r="B15" s="10">
        <v>6</v>
      </c>
      <c r="C15" s="11" t="s">
        <v>28</v>
      </c>
      <c r="D15" s="12">
        <v>115</v>
      </c>
      <c r="E15" s="13" t="s">
        <v>29</v>
      </c>
      <c r="F15" s="14">
        <v>1300</v>
      </c>
      <c r="G15" s="15">
        <f t="shared" si="0"/>
        <v>149500</v>
      </c>
      <c r="H15" s="192"/>
      <c r="I15" s="195"/>
      <c r="J15" s="198"/>
      <c r="K15" s="201"/>
      <c r="L15" s="204"/>
      <c r="M15" s="182"/>
    </row>
    <row r="16" spans="2:13" x14ac:dyDescent="0.3">
      <c r="B16" s="10">
        <v>7</v>
      </c>
      <c r="C16" s="11" t="s">
        <v>30</v>
      </c>
      <c r="D16" s="12">
        <v>40</v>
      </c>
      <c r="E16" s="13" t="s">
        <v>31</v>
      </c>
      <c r="F16" s="14">
        <v>17510</v>
      </c>
      <c r="G16" s="15">
        <f t="shared" si="0"/>
        <v>700400</v>
      </c>
      <c r="H16" s="192"/>
      <c r="I16" s="195"/>
      <c r="J16" s="198"/>
      <c r="K16" s="201"/>
      <c r="L16" s="204"/>
      <c r="M16" s="182"/>
    </row>
    <row r="17" spans="2:21" x14ac:dyDescent="0.3">
      <c r="B17" s="10">
        <v>8</v>
      </c>
      <c r="C17" s="11" t="s">
        <v>32</v>
      </c>
      <c r="D17" s="12">
        <v>15</v>
      </c>
      <c r="E17" s="13" t="s">
        <v>29</v>
      </c>
      <c r="F17" s="14">
        <v>6500</v>
      </c>
      <c r="G17" s="15">
        <f t="shared" si="0"/>
        <v>97500</v>
      </c>
      <c r="H17" s="192"/>
      <c r="I17" s="195"/>
      <c r="J17" s="198"/>
      <c r="K17" s="201"/>
      <c r="L17" s="204"/>
      <c r="M17" s="182"/>
    </row>
    <row r="18" spans="2:21" x14ac:dyDescent="0.3">
      <c r="B18" s="10">
        <v>9</v>
      </c>
      <c r="C18" s="11" t="s">
        <v>33</v>
      </c>
      <c r="D18" s="12">
        <v>4</v>
      </c>
      <c r="E18" s="13" t="s">
        <v>24</v>
      </c>
      <c r="F18" s="14">
        <v>31200</v>
      </c>
      <c r="G18" s="15">
        <f t="shared" si="0"/>
        <v>124800</v>
      </c>
      <c r="H18" s="192"/>
      <c r="I18" s="195"/>
      <c r="J18" s="198"/>
      <c r="K18" s="201"/>
      <c r="L18" s="204"/>
      <c r="M18" s="182"/>
    </row>
    <row r="19" spans="2:21" x14ac:dyDescent="0.3">
      <c r="B19" s="10">
        <v>10</v>
      </c>
      <c r="C19" s="11" t="s">
        <v>34</v>
      </c>
      <c r="D19" s="12">
        <v>9</v>
      </c>
      <c r="E19" s="13" t="s">
        <v>24</v>
      </c>
      <c r="F19" s="14">
        <v>11440</v>
      </c>
      <c r="G19" s="15">
        <f t="shared" si="0"/>
        <v>102960</v>
      </c>
      <c r="H19" s="192"/>
      <c r="I19" s="195"/>
      <c r="J19" s="198"/>
      <c r="K19" s="201"/>
      <c r="L19" s="204"/>
      <c r="M19" s="182"/>
    </row>
    <row r="20" spans="2:21" x14ac:dyDescent="0.3">
      <c r="B20" s="10">
        <v>11</v>
      </c>
      <c r="C20" s="11" t="s">
        <v>35</v>
      </c>
      <c r="D20" s="12">
        <v>5</v>
      </c>
      <c r="E20" s="13" t="s">
        <v>24</v>
      </c>
      <c r="F20" s="14">
        <v>11440</v>
      </c>
      <c r="G20" s="15">
        <f t="shared" si="0"/>
        <v>57200</v>
      </c>
      <c r="H20" s="192"/>
      <c r="I20" s="195"/>
      <c r="J20" s="198"/>
      <c r="K20" s="201"/>
      <c r="L20" s="204"/>
      <c r="M20" s="182"/>
    </row>
    <row r="21" spans="2:21" x14ac:dyDescent="0.3">
      <c r="B21" s="10">
        <v>12</v>
      </c>
      <c r="C21" s="11" t="s">
        <v>36</v>
      </c>
      <c r="D21" s="12">
        <v>6</v>
      </c>
      <c r="E21" s="13" t="s">
        <v>37</v>
      </c>
      <c r="F21" s="14">
        <v>2600</v>
      </c>
      <c r="G21" s="15">
        <f t="shared" si="0"/>
        <v>15600</v>
      </c>
      <c r="H21" s="192"/>
      <c r="I21" s="195"/>
      <c r="J21" s="198"/>
      <c r="K21" s="201"/>
      <c r="L21" s="204"/>
      <c r="M21" s="182"/>
    </row>
    <row r="22" spans="2:21" x14ac:dyDescent="0.3">
      <c r="B22" s="10">
        <v>13</v>
      </c>
      <c r="C22" s="11" t="s">
        <v>38</v>
      </c>
      <c r="D22" s="12">
        <v>2</v>
      </c>
      <c r="E22" s="13" t="s">
        <v>24</v>
      </c>
      <c r="F22" s="14">
        <v>20800</v>
      </c>
      <c r="G22" s="15">
        <f t="shared" si="0"/>
        <v>41600</v>
      </c>
      <c r="H22" s="192"/>
      <c r="I22" s="195"/>
      <c r="J22" s="198"/>
      <c r="K22" s="201"/>
      <c r="L22" s="204"/>
      <c r="M22" s="182"/>
    </row>
    <row r="23" spans="2:21" x14ac:dyDescent="0.3">
      <c r="B23" s="10">
        <v>14</v>
      </c>
      <c r="C23" s="11" t="s">
        <v>39</v>
      </c>
      <c r="D23" s="12">
        <v>37</v>
      </c>
      <c r="E23" s="13" t="s">
        <v>24</v>
      </c>
      <c r="F23" s="14">
        <v>18900</v>
      </c>
      <c r="G23" s="15">
        <f t="shared" si="0"/>
        <v>699300</v>
      </c>
      <c r="H23" s="192"/>
      <c r="I23" s="195"/>
      <c r="J23" s="198"/>
      <c r="K23" s="201"/>
      <c r="L23" s="204"/>
      <c r="M23" s="182"/>
    </row>
    <row r="24" spans="2:21" x14ac:dyDescent="0.3">
      <c r="B24" s="10">
        <v>15</v>
      </c>
      <c r="C24" s="11" t="s">
        <v>40</v>
      </c>
      <c r="D24" s="12">
        <v>30</v>
      </c>
      <c r="E24" s="13" t="s">
        <v>24</v>
      </c>
      <c r="F24" s="14">
        <v>18900</v>
      </c>
      <c r="G24" s="15">
        <f t="shared" si="0"/>
        <v>567000</v>
      </c>
      <c r="H24" s="192"/>
      <c r="I24" s="195"/>
      <c r="J24" s="198"/>
      <c r="K24" s="201"/>
      <c r="L24" s="204"/>
      <c r="M24" s="182"/>
    </row>
    <row r="25" spans="2:21" x14ac:dyDescent="0.3">
      <c r="B25" s="10">
        <v>16</v>
      </c>
      <c r="C25" s="11" t="s">
        <v>41</v>
      </c>
      <c r="D25" s="12">
        <v>2</v>
      </c>
      <c r="E25" s="13" t="s">
        <v>24</v>
      </c>
      <c r="F25" s="14">
        <v>18720</v>
      </c>
      <c r="G25" s="15">
        <f t="shared" si="0"/>
        <v>37440</v>
      </c>
      <c r="H25" s="192"/>
      <c r="I25" s="195"/>
      <c r="J25" s="198"/>
      <c r="K25" s="201"/>
      <c r="L25" s="204"/>
      <c r="M25" s="182"/>
    </row>
    <row r="26" spans="2:21" ht="18" x14ac:dyDescent="0.35">
      <c r="B26" s="10">
        <v>17</v>
      </c>
      <c r="C26" s="11" t="s">
        <v>42</v>
      </c>
      <c r="D26" s="12">
        <v>1.5</v>
      </c>
      <c r="E26" s="13" t="s">
        <v>24</v>
      </c>
      <c r="F26" s="14">
        <v>63000</v>
      </c>
      <c r="G26" s="15">
        <f>F26*D26</f>
        <v>94500</v>
      </c>
      <c r="H26" s="192"/>
      <c r="I26" s="195"/>
      <c r="J26" s="198"/>
      <c r="K26" s="201"/>
      <c r="L26" s="204"/>
      <c r="M26" s="182"/>
      <c r="S26" s="171"/>
      <c r="T26" s="171"/>
      <c r="U26" s="171"/>
    </row>
    <row r="27" spans="2:21" ht="18" x14ac:dyDescent="0.35">
      <c r="B27" s="10">
        <v>18</v>
      </c>
      <c r="C27" s="11" t="s">
        <v>43</v>
      </c>
      <c r="D27" s="12">
        <v>145</v>
      </c>
      <c r="E27" s="13" t="s">
        <v>44</v>
      </c>
      <c r="F27" s="14">
        <v>2500</v>
      </c>
      <c r="G27" s="15">
        <f>F27*D27</f>
        <v>362500</v>
      </c>
      <c r="H27" s="192"/>
      <c r="I27" s="195"/>
      <c r="J27" s="198"/>
      <c r="K27" s="201"/>
      <c r="L27" s="204"/>
      <c r="M27" s="182"/>
      <c r="S27" s="171" t="s">
        <v>56</v>
      </c>
      <c r="T27" s="173">
        <v>5</v>
      </c>
      <c r="U27" s="171" t="s">
        <v>220</v>
      </c>
    </row>
    <row r="28" spans="2:21" ht="18" x14ac:dyDescent="0.35">
      <c r="B28" s="10">
        <v>19</v>
      </c>
      <c r="C28" s="11" t="s">
        <v>45</v>
      </c>
      <c r="D28" s="12">
        <v>1.5</v>
      </c>
      <c r="E28" s="13" t="s">
        <v>44</v>
      </c>
      <c r="F28" s="14">
        <v>52500</v>
      </c>
      <c r="G28" s="15">
        <f t="shared" ref="G28:G32" si="1">F28*D28</f>
        <v>78750</v>
      </c>
      <c r="H28" s="192"/>
      <c r="I28" s="195"/>
      <c r="J28" s="198"/>
      <c r="K28" s="201"/>
      <c r="L28" s="204"/>
      <c r="M28" s="182"/>
      <c r="S28" s="171" t="s">
        <v>80</v>
      </c>
      <c r="T28" s="173">
        <v>2</v>
      </c>
      <c r="U28" s="171" t="s">
        <v>220</v>
      </c>
    </row>
    <row r="29" spans="2:21" ht="18" x14ac:dyDescent="0.35">
      <c r="B29" s="10">
        <v>20</v>
      </c>
      <c r="C29" s="11" t="s">
        <v>46</v>
      </c>
      <c r="D29" s="12">
        <v>6</v>
      </c>
      <c r="E29" s="13" t="s">
        <v>24</v>
      </c>
      <c r="F29" s="14">
        <v>16800</v>
      </c>
      <c r="G29" s="15">
        <f t="shared" si="1"/>
        <v>100800</v>
      </c>
      <c r="H29" s="192"/>
      <c r="I29" s="195"/>
      <c r="J29" s="198"/>
      <c r="K29" s="201"/>
      <c r="L29" s="204"/>
      <c r="M29" s="182"/>
      <c r="S29" s="171" t="s">
        <v>218</v>
      </c>
      <c r="T29" s="174">
        <v>500000</v>
      </c>
      <c r="U29" s="171"/>
    </row>
    <row r="30" spans="2:21" ht="18" x14ac:dyDescent="0.35">
      <c r="B30" s="10">
        <v>21</v>
      </c>
      <c r="C30" s="11" t="s">
        <v>47</v>
      </c>
      <c r="D30" s="12">
        <v>17</v>
      </c>
      <c r="E30" s="13" t="s">
        <v>24</v>
      </c>
      <c r="F30" s="14">
        <v>12600</v>
      </c>
      <c r="G30" s="15">
        <f t="shared" si="1"/>
        <v>214200</v>
      </c>
      <c r="H30" s="192"/>
      <c r="I30" s="195"/>
      <c r="J30" s="198"/>
      <c r="K30" s="201"/>
      <c r="L30" s="204"/>
      <c r="M30" s="182"/>
      <c r="S30" s="171" t="s">
        <v>219</v>
      </c>
      <c r="T30" s="174">
        <v>400000</v>
      </c>
      <c r="U30" s="171"/>
    </row>
    <row r="31" spans="2:21" ht="18" x14ac:dyDescent="0.35">
      <c r="B31" s="10">
        <v>22</v>
      </c>
      <c r="C31" s="11" t="s">
        <v>48</v>
      </c>
      <c r="D31" s="12">
        <v>120</v>
      </c>
      <c r="E31" s="13" t="s">
        <v>24</v>
      </c>
      <c r="F31" s="14">
        <v>15750</v>
      </c>
      <c r="G31" s="15">
        <f t="shared" si="1"/>
        <v>1890000</v>
      </c>
      <c r="H31" s="192"/>
      <c r="I31" s="195"/>
      <c r="J31" s="198"/>
      <c r="K31" s="201"/>
      <c r="L31" s="204"/>
      <c r="M31" s="182"/>
      <c r="S31" s="171" t="s">
        <v>201</v>
      </c>
      <c r="T31" s="175">
        <v>1500000</v>
      </c>
      <c r="U31" s="171" t="s">
        <v>222</v>
      </c>
    </row>
    <row r="32" spans="2:21" ht="18" x14ac:dyDescent="0.35">
      <c r="B32" s="10">
        <v>23</v>
      </c>
      <c r="C32" s="11" t="s">
        <v>49</v>
      </c>
      <c r="D32" s="12">
        <v>40</v>
      </c>
      <c r="E32" s="13" t="s">
        <v>44</v>
      </c>
      <c r="F32" s="14">
        <v>62400</v>
      </c>
      <c r="G32" s="15">
        <f t="shared" si="1"/>
        <v>2496000</v>
      </c>
      <c r="H32" s="193"/>
      <c r="I32" s="196"/>
      <c r="J32" s="199"/>
      <c r="K32" s="202"/>
      <c r="L32" s="205"/>
      <c r="M32" s="183"/>
      <c r="S32" s="171" t="s">
        <v>201</v>
      </c>
      <c r="T32" s="175">
        <v>3000000</v>
      </c>
      <c r="U32" s="171" t="s">
        <v>223</v>
      </c>
    </row>
    <row r="33" spans="2:21" s="24" customFormat="1" ht="19.5" customHeight="1" x14ac:dyDescent="0.3">
      <c r="B33" s="206" t="s">
        <v>50</v>
      </c>
      <c r="C33" s="207"/>
      <c r="D33" s="207"/>
      <c r="E33" s="207"/>
      <c r="F33" s="207"/>
      <c r="G33" s="207"/>
      <c r="H33" s="207"/>
      <c r="I33" s="207"/>
      <c r="J33" s="208"/>
      <c r="K33" s="21">
        <f>SUM(K10)</f>
        <v>10720250</v>
      </c>
      <c r="L33" s="22"/>
      <c r="M33" s="23"/>
      <c r="S33" s="172"/>
      <c r="T33" s="172"/>
      <c r="U33" s="172"/>
    </row>
    <row r="34" spans="2:21" ht="18" x14ac:dyDescent="0.35">
      <c r="S34" s="171"/>
      <c r="T34" s="171"/>
      <c r="U34" s="171"/>
    </row>
    <row r="35" spans="2:21" ht="15" thickBot="1" x14ac:dyDescent="0.35"/>
    <row r="36" spans="2:21" ht="15" thickBot="1" x14ac:dyDescent="0.35">
      <c r="B36" s="209" t="s">
        <v>51</v>
      </c>
      <c r="C36" s="210"/>
      <c r="D36" s="210"/>
      <c r="E36" s="210"/>
      <c r="F36" s="210"/>
      <c r="G36" s="210"/>
      <c r="H36" s="210"/>
      <c r="I36" s="210"/>
      <c r="J36" s="210"/>
      <c r="K36" s="210"/>
      <c r="L36" s="210"/>
      <c r="M36" s="211"/>
    </row>
    <row r="37" spans="2:21" ht="15" thickBot="1" x14ac:dyDescent="0.35">
      <c r="B37" s="25" t="s">
        <v>52</v>
      </c>
      <c r="C37" s="26" t="s">
        <v>53</v>
      </c>
      <c r="D37" s="26" t="s">
        <v>8</v>
      </c>
      <c r="E37" s="26" t="s">
        <v>9</v>
      </c>
      <c r="F37" s="27" t="s">
        <v>10</v>
      </c>
      <c r="G37" s="27" t="s">
        <v>54</v>
      </c>
      <c r="H37" s="26" t="s">
        <v>12</v>
      </c>
      <c r="I37" s="26" t="s">
        <v>13</v>
      </c>
      <c r="J37" s="26" t="s">
        <v>14</v>
      </c>
      <c r="K37" s="26" t="s">
        <v>15</v>
      </c>
      <c r="L37" s="26" t="s">
        <v>55</v>
      </c>
      <c r="M37" s="28" t="s">
        <v>17</v>
      </c>
    </row>
    <row r="38" spans="2:21" ht="17.25" customHeight="1" x14ac:dyDescent="0.3">
      <c r="B38" s="10">
        <v>1</v>
      </c>
      <c r="C38" s="29" t="s">
        <v>56</v>
      </c>
      <c r="D38" s="30">
        <v>3</v>
      </c>
      <c r="E38" s="30" t="s">
        <v>57</v>
      </c>
      <c r="F38" s="31">
        <v>250000</v>
      </c>
      <c r="G38" s="31">
        <f>D38*F38</f>
        <v>750000</v>
      </c>
      <c r="H38" s="194" t="s">
        <v>58</v>
      </c>
      <c r="I38" s="212" t="s">
        <v>59</v>
      </c>
      <c r="J38" s="194" t="s">
        <v>22</v>
      </c>
      <c r="K38" s="213">
        <f>SUM(G38:G40)</f>
        <v>3400000</v>
      </c>
      <c r="L38" s="216"/>
      <c r="M38" s="219"/>
    </row>
    <row r="39" spans="2:21" ht="17.25" customHeight="1" x14ac:dyDescent="0.3">
      <c r="B39" s="10">
        <v>2</v>
      </c>
      <c r="C39" s="29" t="s">
        <v>60</v>
      </c>
      <c r="D39" s="30">
        <v>2</v>
      </c>
      <c r="E39" s="30" t="s">
        <v>57</v>
      </c>
      <c r="F39" s="31">
        <v>1200000</v>
      </c>
      <c r="G39" s="31">
        <f>D39*F39</f>
        <v>2400000</v>
      </c>
      <c r="H39" s="195"/>
      <c r="I39" s="201"/>
      <c r="J39" s="195"/>
      <c r="K39" s="214"/>
      <c r="L39" s="217"/>
      <c r="M39" s="220"/>
    </row>
    <row r="40" spans="2:21" ht="17.25" customHeight="1" x14ac:dyDescent="0.3">
      <c r="B40" s="10">
        <v>3</v>
      </c>
      <c r="C40" s="29" t="s">
        <v>61</v>
      </c>
      <c r="D40" s="30">
        <v>25</v>
      </c>
      <c r="E40" s="30" t="s">
        <v>62</v>
      </c>
      <c r="F40" s="31">
        <v>10000</v>
      </c>
      <c r="G40" s="31">
        <f>D40*F40</f>
        <v>250000</v>
      </c>
      <c r="H40" s="196"/>
      <c r="I40" s="202"/>
      <c r="J40" s="196"/>
      <c r="K40" s="215"/>
      <c r="L40" s="218"/>
      <c r="M40" s="220"/>
      <c r="N40" s="33" t="s">
        <v>63</v>
      </c>
    </row>
    <row r="41" spans="2:21" ht="20.25" customHeight="1" x14ac:dyDescent="0.3">
      <c r="B41" s="206" t="s">
        <v>64</v>
      </c>
      <c r="C41" s="207"/>
      <c r="D41" s="207"/>
      <c r="E41" s="207"/>
      <c r="F41" s="207"/>
      <c r="G41" s="207"/>
      <c r="H41" s="207"/>
      <c r="I41" s="207"/>
      <c r="J41" s="207"/>
      <c r="K41" s="34">
        <f>SUM(K38:K40)</f>
        <v>3400000</v>
      </c>
      <c r="L41" s="35"/>
      <c r="M41" s="36"/>
    </row>
  </sheetData>
  <mergeCells count="21">
    <mergeCell ref="B41:J41"/>
    <mergeCell ref="B33:J33"/>
    <mergeCell ref="B36:M36"/>
    <mergeCell ref="H38:H40"/>
    <mergeCell ref="I38:I40"/>
    <mergeCell ref="J38:J40"/>
    <mergeCell ref="K38:K40"/>
    <mergeCell ref="L38:L40"/>
    <mergeCell ref="M38:M40"/>
    <mergeCell ref="M10:M32"/>
    <mergeCell ref="B3:M3"/>
    <mergeCell ref="B4:M4"/>
    <mergeCell ref="B5:M5"/>
    <mergeCell ref="B6:M6"/>
    <mergeCell ref="B7:M7"/>
    <mergeCell ref="B8:M8"/>
    <mergeCell ref="H10:H32"/>
    <mergeCell ref="I10:I32"/>
    <mergeCell ref="J10:J32"/>
    <mergeCell ref="K10:K32"/>
    <mergeCell ref="L10:L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EA8C-AE17-4442-A9E5-BF36887420A0}">
  <dimension ref="B3:M171"/>
  <sheetViews>
    <sheetView topLeftCell="A13" zoomScaleNormal="100" workbookViewId="0">
      <selection activeCell="F24" sqref="F24"/>
    </sheetView>
  </sheetViews>
  <sheetFormatPr defaultRowHeight="14.4" x14ac:dyDescent="0.3"/>
  <cols>
    <col min="1" max="1" width="12.5546875" customWidth="1"/>
    <col min="2" max="2" width="5.6640625" customWidth="1"/>
    <col min="3" max="3" width="18.88671875" customWidth="1"/>
    <col min="4" max="4" width="14.5546875" customWidth="1"/>
    <col min="5" max="5" width="15.88671875" customWidth="1"/>
    <col min="6" max="6" width="18.88671875" customWidth="1"/>
    <col min="7" max="7" width="18.5546875" customWidth="1"/>
    <col min="8" max="8" width="19" customWidth="1"/>
    <col min="9" max="9" width="14.88671875" customWidth="1"/>
    <col min="10" max="10" width="19.33203125" customWidth="1"/>
    <col min="11" max="11" width="19.5546875" customWidth="1"/>
  </cols>
  <sheetData>
    <row r="3" spans="2:13" ht="18" x14ac:dyDescent="0.35">
      <c r="B3" s="184" t="s">
        <v>0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</row>
    <row r="4" spans="2:13" ht="15.6" x14ac:dyDescent="0.3">
      <c r="B4" s="185" t="s">
        <v>1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</row>
    <row r="5" spans="2:13" ht="15.6" x14ac:dyDescent="0.3">
      <c r="B5" s="185" t="s">
        <v>2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</row>
    <row r="6" spans="2:13" x14ac:dyDescent="0.3">
      <c r="B6" s="186" t="s">
        <v>65</v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</row>
    <row r="7" spans="2:13" ht="15" thickBot="1" x14ac:dyDescent="0.35">
      <c r="B7" s="187" t="s">
        <v>66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</row>
    <row r="8" spans="2:13" ht="15" thickBot="1" x14ac:dyDescent="0.35">
      <c r="B8" s="188" t="s">
        <v>5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90"/>
    </row>
    <row r="9" spans="2:13" ht="15" thickBot="1" x14ac:dyDescent="0.35">
      <c r="B9" s="25" t="s">
        <v>6</v>
      </c>
      <c r="C9" s="26" t="s">
        <v>7</v>
      </c>
      <c r="D9" s="26" t="s">
        <v>8</v>
      </c>
      <c r="E9" s="26" t="s">
        <v>9</v>
      </c>
      <c r="F9" s="26" t="s">
        <v>10</v>
      </c>
      <c r="G9" s="28" t="s">
        <v>11</v>
      </c>
      <c r="H9" s="37" t="s">
        <v>12</v>
      </c>
      <c r="I9" s="2" t="s">
        <v>13</v>
      </c>
      <c r="J9" s="2" t="s">
        <v>14</v>
      </c>
      <c r="K9" s="2" t="s">
        <v>15</v>
      </c>
      <c r="L9" s="2" t="s">
        <v>16</v>
      </c>
      <c r="M9" s="3" t="s">
        <v>17</v>
      </c>
    </row>
    <row r="10" spans="2:13" x14ac:dyDescent="0.3">
      <c r="B10" s="38">
        <v>1</v>
      </c>
      <c r="C10" s="39" t="s">
        <v>18</v>
      </c>
      <c r="D10" s="40">
        <v>8</v>
      </c>
      <c r="E10" s="41" t="s">
        <v>19</v>
      </c>
      <c r="F10" s="42">
        <v>155000</v>
      </c>
      <c r="G10" s="43">
        <f>F10*D10</f>
        <v>1240000</v>
      </c>
      <c r="H10" s="191" t="s">
        <v>58</v>
      </c>
      <c r="I10" s="212" t="s">
        <v>21</v>
      </c>
      <c r="J10" s="221" t="s">
        <v>22</v>
      </c>
      <c r="K10" s="200">
        <f>SUM(G10:G26)</f>
        <v>11687640</v>
      </c>
      <c r="L10" s="203"/>
      <c r="M10" s="181"/>
    </row>
    <row r="11" spans="2:13" x14ac:dyDescent="0.3">
      <c r="B11" s="10">
        <v>2</v>
      </c>
      <c r="C11" s="44" t="s">
        <v>67</v>
      </c>
      <c r="D11" s="45">
        <v>115</v>
      </c>
      <c r="E11" s="46" t="s">
        <v>24</v>
      </c>
      <c r="F11" s="47">
        <v>46200</v>
      </c>
      <c r="G11" s="15">
        <f t="shared" ref="G11:G25" si="0">F11*D11</f>
        <v>5313000</v>
      </c>
      <c r="H11" s="192"/>
      <c r="I11" s="201"/>
      <c r="J11" s="222"/>
      <c r="K11" s="201"/>
      <c r="L11" s="204"/>
      <c r="M11" s="182"/>
    </row>
    <row r="12" spans="2:13" x14ac:dyDescent="0.3">
      <c r="B12" s="10">
        <v>3</v>
      </c>
      <c r="C12" s="44" t="s">
        <v>25</v>
      </c>
      <c r="D12" s="45">
        <v>13.5</v>
      </c>
      <c r="E12" s="46" t="s">
        <v>24</v>
      </c>
      <c r="F12" s="47">
        <v>44100</v>
      </c>
      <c r="G12" s="15">
        <f t="shared" si="0"/>
        <v>595350</v>
      </c>
      <c r="H12" s="192"/>
      <c r="I12" s="201"/>
      <c r="J12" s="222"/>
      <c r="K12" s="201"/>
      <c r="L12" s="204"/>
      <c r="M12" s="182"/>
    </row>
    <row r="13" spans="2:13" x14ac:dyDescent="0.3">
      <c r="B13" s="10">
        <v>4</v>
      </c>
      <c r="C13" s="44" t="s">
        <v>26</v>
      </c>
      <c r="D13" s="45">
        <v>9</v>
      </c>
      <c r="E13" s="46" t="s">
        <v>24</v>
      </c>
      <c r="F13" s="47">
        <v>42000</v>
      </c>
      <c r="G13" s="15">
        <f t="shared" si="0"/>
        <v>378000</v>
      </c>
      <c r="H13" s="192"/>
      <c r="I13" s="201"/>
      <c r="J13" s="222"/>
      <c r="K13" s="201"/>
      <c r="L13" s="204"/>
      <c r="M13" s="182"/>
    </row>
    <row r="14" spans="2:13" x14ac:dyDescent="0.3">
      <c r="B14" s="10">
        <v>5</v>
      </c>
      <c r="C14" s="44" t="s">
        <v>36</v>
      </c>
      <c r="D14" s="45">
        <v>4</v>
      </c>
      <c r="E14" s="46" t="s">
        <v>68</v>
      </c>
      <c r="F14" s="47">
        <v>2600</v>
      </c>
      <c r="G14" s="15">
        <f>F14*D14</f>
        <v>10400</v>
      </c>
      <c r="H14" s="192"/>
      <c r="I14" s="201"/>
      <c r="J14" s="222"/>
      <c r="K14" s="201"/>
      <c r="L14" s="204"/>
      <c r="M14" s="182"/>
    </row>
    <row r="15" spans="2:13" x14ac:dyDescent="0.3">
      <c r="B15" s="10">
        <v>6</v>
      </c>
      <c r="C15" s="44" t="s">
        <v>30</v>
      </c>
      <c r="D15" s="45">
        <v>31</v>
      </c>
      <c r="E15" s="46" t="s">
        <v>29</v>
      </c>
      <c r="F15" s="47">
        <v>17510</v>
      </c>
      <c r="G15" s="15">
        <f t="shared" si="0"/>
        <v>542810</v>
      </c>
      <c r="H15" s="192"/>
      <c r="I15" s="201"/>
      <c r="J15" s="222"/>
      <c r="K15" s="201"/>
      <c r="L15" s="204"/>
      <c r="M15" s="182"/>
    </row>
    <row r="16" spans="2:13" x14ac:dyDescent="0.3">
      <c r="B16" s="10">
        <v>7</v>
      </c>
      <c r="C16" s="44" t="s">
        <v>69</v>
      </c>
      <c r="D16" s="45">
        <v>65</v>
      </c>
      <c r="E16" s="46" t="s">
        <v>70</v>
      </c>
      <c r="F16" s="47">
        <v>19950</v>
      </c>
      <c r="G16" s="15">
        <f t="shared" si="0"/>
        <v>1296750</v>
      </c>
      <c r="H16" s="192"/>
      <c r="I16" s="201"/>
      <c r="J16" s="222"/>
      <c r="K16" s="201"/>
      <c r="L16" s="204"/>
      <c r="M16" s="182"/>
    </row>
    <row r="17" spans="2:13" x14ac:dyDescent="0.3">
      <c r="B17" s="10">
        <v>8</v>
      </c>
      <c r="C17" s="44" t="s">
        <v>41</v>
      </c>
      <c r="D17" s="45">
        <v>1</v>
      </c>
      <c r="E17" s="46" t="s">
        <v>70</v>
      </c>
      <c r="F17" s="47">
        <v>18720</v>
      </c>
      <c r="G17" s="15">
        <f t="shared" si="0"/>
        <v>18720</v>
      </c>
      <c r="H17" s="192"/>
      <c r="I17" s="201"/>
      <c r="J17" s="222"/>
      <c r="K17" s="201"/>
      <c r="L17" s="204"/>
      <c r="M17" s="182"/>
    </row>
    <row r="18" spans="2:13" x14ac:dyDescent="0.3">
      <c r="B18" s="10">
        <v>9</v>
      </c>
      <c r="C18" s="44" t="s">
        <v>42</v>
      </c>
      <c r="D18" s="45">
        <v>1</v>
      </c>
      <c r="E18" s="46" t="s">
        <v>24</v>
      </c>
      <c r="F18" s="47">
        <v>68250</v>
      </c>
      <c r="G18" s="15">
        <f t="shared" si="0"/>
        <v>68250</v>
      </c>
      <c r="H18" s="192"/>
      <c r="I18" s="201"/>
      <c r="J18" s="222"/>
      <c r="K18" s="201"/>
      <c r="L18" s="204"/>
      <c r="M18" s="182"/>
    </row>
    <row r="19" spans="2:13" x14ac:dyDescent="0.3">
      <c r="B19" s="10">
        <v>10</v>
      </c>
      <c r="C19" s="44" t="s">
        <v>45</v>
      </c>
      <c r="D19" s="45">
        <v>6</v>
      </c>
      <c r="E19" s="46" t="s">
        <v>71</v>
      </c>
      <c r="F19" s="47">
        <v>52500</v>
      </c>
      <c r="G19" s="15">
        <f t="shared" si="0"/>
        <v>315000</v>
      </c>
      <c r="H19" s="192"/>
      <c r="I19" s="201"/>
      <c r="J19" s="222"/>
      <c r="K19" s="201"/>
      <c r="L19" s="204"/>
      <c r="M19" s="182"/>
    </row>
    <row r="20" spans="2:13" x14ac:dyDescent="0.3">
      <c r="B20" s="10">
        <v>11</v>
      </c>
      <c r="C20" s="44" t="s">
        <v>72</v>
      </c>
      <c r="D20" s="45">
        <v>3</v>
      </c>
      <c r="E20" s="46" t="s">
        <v>70</v>
      </c>
      <c r="F20" s="47">
        <v>43260</v>
      </c>
      <c r="G20" s="15">
        <f t="shared" si="0"/>
        <v>129780</v>
      </c>
      <c r="H20" s="192"/>
      <c r="I20" s="201"/>
      <c r="J20" s="222"/>
      <c r="K20" s="201"/>
      <c r="L20" s="204"/>
      <c r="M20" s="182"/>
    </row>
    <row r="21" spans="2:13" x14ac:dyDescent="0.3">
      <c r="B21" s="10">
        <v>12</v>
      </c>
      <c r="C21" s="44" t="s">
        <v>73</v>
      </c>
      <c r="D21" s="45">
        <v>1</v>
      </c>
      <c r="E21" s="46" t="s">
        <v>70</v>
      </c>
      <c r="F21" s="47">
        <v>19570</v>
      </c>
      <c r="G21" s="15">
        <f t="shared" si="0"/>
        <v>19570</v>
      </c>
      <c r="H21" s="192"/>
      <c r="I21" s="201"/>
      <c r="J21" s="222"/>
      <c r="K21" s="201"/>
      <c r="L21" s="204"/>
      <c r="M21" s="182"/>
    </row>
    <row r="22" spans="2:13" x14ac:dyDescent="0.3">
      <c r="B22" s="10">
        <v>13</v>
      </c>
      <c r="C22" s="44" t="s">
        <v>74</v>
      </c>
      <c r="D22" s="45">
        <v>1</v>
      </c>
      <c r="E22" s="46" t="s">
        <v>75</v>
      </c>
      <c r="F22" s="47">
        <v>10500</v>
      </c>
      <c r="G22" s="15">
        <f t="shared" si="0"/>
        <v>10500</v>
      </c>
      <c r="H22" s="192"/>
      <c r="I22" s="201"/>
      <c r="J22" s="222"/>
      <c r="K22" s="201"/>
      <c r="L22" s="204"/>
      <c r="M22" s="182"/>
    </row>
    <row r="23" spans="2:13" x14ac:dyDescent="0.3">
      <c r="B23" s="10">
        <v>14</v>
      </c>
      <c r="C23" s="44" t="s">
        <v>76</v>
      </c>
      <c r="D23" s="45">
        <v>1</v>
      </c>
      <c r="E23" s="46" t="s">
        <v>77</v>
      </c>
      <c r="F23" s="47">
        <v>12360</v>
      </c>
      <c r="G23" s="15">
        <f t="shared" si="0"/>
        <v>12360</v>
      </c>
      <c r="H23" s="192"/>
      <c r="I23" s="201"/>
      <c r="J23" s="222"/>
      <c r="K23" s="201"/>
      <c r="L23" s="204"/>
      <c r="M23" s="182"/>
    </row>
    <row r="24" spans="2:13" x14ac:dyDescent="0.3">
      <c r="B24" s="10">
        <v>15</v>
      </c>
      <c r="C24" s="44" t="s">
        <v>47</v>
      </c>
      <c r="D24" s="45">
        <v>8</v>
      </c>
      <c r="E24" s="46" t="s">
        <v>70</v>
      </c>
      <c r="F24" s="47">
        <v>12600</v>
      </c>
      <c r="G24" s="15">
        <f t="shared" si="0"/>
        <v>100800</v>
      </c>
      <c r="H24" s="192"/>
      <c r="I24" s="201"/>
      <c r="J24" s="222"/>
      <c r="K24" s="201"/>
      <c r="L24" s="204"/>
      <c r="M24" s="182"/>
    </row>
    <row r="25" spans="2:13" x14ac:dyDescent="0.3">
      <c r="B25" s="10">
        <v>16</v>
      </c>
      <c r="C25" s="44" t="s">
        <v>35</v>
      </c>
      <c r="D25" s="45">
        <v>15</v>
      </c>
      <c r="E25" s="46" t="s">
        <v>70</v>
      </c>
      <c r="F25" s="47">
        <v>11440</v>
      </c>
      <c r="G25" s="15">
        <f t="shared" si="0"/>
        <v>171600</v>
      </c>
      <c r="H25" s="192"/>
      <c r="I25" s="201"/>
      <c r="J25" s="222"/>
      <c r="K25" s="201"/>
      <c r="L25" s="204"/>
      <c r="M25" s="182"/>
    </row>
    <row r="26" spans="2:13" x14ac:dyDescent="0.3">
      <c r="B26" s="10">
        <v>17</v>
      </c>
      <c r="C26" s="44" t="s">
        <v>78</v>
      </c>
      <c r="D26" s="45">
        <v>93</v>
      </c>
      <c r="E26" s="46" t="s">
        <v>79</v>
      </c>
      <c r="F26" s="47">
        <v>15750</v>
      </c>
      <c r="G26" s="15">
        <f>F26*D26</f>
        <v>1464750</v>
      </c>
      <c r="H26" s="192"/>
      <c r="I26" s="201"/>
      <c r="J26" s="222"/>
      <c r="K26" s="201"/>
      <c r="L26" s="204"/>
      <c r="M26" s="182"/>
    </row>
    <row r="27" spans="2:13" x14ac:dyDescent="0.3">
      <c r="B27" s="206" t="s">
        <v>50</v>
      </c>
      <c r="C27" s="207"/>
      <c r="D27" s="207"/>
      <c r="E27" s="207"/>
      <c r="F27" s="207"/>
      <c r="G27" s="207"/>
      <c r="H27" s="207"/>
      <c r="I27" s="207"/>
      <c r="J27" s="208"/>
      <c r="K27" s="21">
        <f>SUM(K10)</f>
        <v>11687640</v>
      </c>
      <c r="L27" s="22"/>
      <c r="M27" s="23"/>
    </row>
    <row r="29" spans="2:13" ht="15" thickBot="1" x14ac:dyDescent="0.35"/>
    <row r="30" spans="2:13" ht="15" thickBot="1" x14ac:dyDescent="0.35">
      <c r="B30" s="209" t="s">
        <v>51</v>
      </c>
      <c r="C30" s="210"/>
      <c r="D30" s="210"/>
      <c r="E30" s="210"/>
      <c r="F30" s="210"/>
      <c r="G30" s="210"/>
      <c r="H30" s="210"/>
      <c r="I30" s="210"/>
      <c r="J30" s="210"/>
      <c r="K30" s="210"/>
      <c r="L30" s="210"/>
      <c r="M30" s="211"/>
    </row>
    <row r="31" spans="2:13" ht="15" thickBot="1" x14ac:dyDescent="0.35">
      <c r="B31" s="25" t="s">
        <v>52</v>
      </c>
      <c r="C31" s="26" t="s">
        <v>53</v>
      </c>
      <c r="D31" s="26" t="s">
        <v>8</v>
      </c>
      <c r="E31" s="26" t="s">
        <v>9</v>
      </c>
      <c r="F31" s="27" t="s">
        <v>10</v>
      </c>
      <c r="G31" s="27" t="s">
        <v>54</v>
      </c>
      <c r="H31" s="26" t="s">
        <v>12</v>
      </c>
      <c r="I31" s="26" t="s">
        <v>13</v>
      </c>
      <c r="J31" s="26" t="s">
        <v>14</v>
      </c>
      <c r="K31" s="26" t="s">
        <v>15</v>
      </c>
      <c r="L31" s="26" t="s">
        <v>55</v>
      </c>
      <c r="M31" s="28" t="s">
        <v>17</v>
      </c>
    </row>
    <row r="32" spans="2:13" ht="20.25" customHeight="1" x14ac:dyDescent="0.3">
      <c r="B32" s="10">
        <v>1</v>
      </c>
      <c r="C32" s="29" t="s">
        <v>56</v>
      </c>
      <c r="D32" s="30">
        <v>0</v>
      </c>
      <c r="E32" s="30" t="s">
        <v>57</v>
      </c>
      <c r="F32" s="31">
        <v>250000</v>
      </c>
      <c r="G32" s="31">
        <f>D32*F32</f>
        <v>0</v>
      </c>
      <c r="H32" s="216"/>
      <c r="I32" s="216"/>
      <c r="J32" s="216"/>
      <c r="K32" s="216"/>
      <c r="L32" s="216"/>
      <c r="M32" s="219"/>
    </row>
    <row r="33" spans="2:13" ht="20.25" customHeight="1" x14ac:dyDescent="0.3">
      <c r="B33" s="10">
        <v>2</v>
      </c>
      <c r="C33" s="29" t="s">
        <v>80</v>
      </c>
      <c r="D33" s="30">
        <v>0</v>
      </c>
      <c r="E33" s="30" t="s">
        <v>57</v>
      </c>
      <c r="F33" s="31">
        <v>1300000</v>
      </c>
      <c r="G33" s="31">
        <f>D33*F33</f>
        <v>0</v>
      </c>
      <c r="H33" s="217"/>
      <c r="I33" s="217"/>
      <c r="J33" s="217"/>
      <c r="K33" s="217"/>
      <c r="L33" s="217"/>
      <c r="M33" s="220"/>
    </row>
    <row r="34" spans="2:13" ht="20.25" customHeight="1" x14ac:dyDescent="0.3">
      <c r="B34" s="10">
        <v>3</v>
      </c>
      <c r="C34" s="29" t="s">
        <v>61</v>
      </c>
      <c r="D34" s="30">
        <v>0</v>
      </c>
      <c r="E34" s="30" t="s">
        <v>62</v>
      </c>
      <c r="F34" s="31">
        <v>250000</v>
      </c>
      <c r="G34" s="31">
        <f>D34*F34</f>
        <v>0</v>
      </c>
      <c r="H34" s="218"/>
      <c r="I34" s="218"/>
      <c r="J34" s="218"/>
      <c r="K34" s="218"/>
      <c r="L34" s="218"/>
      <c r="M34" s="220"/>
    </row>
    <row r="35" spans="2:13" x14ac:dyDescent="0.3">
      <c r="B35" s="206" t="s">
        <v>64</v>
      </c>
      <c r="C35" s="207"/>
      <c r="D35" s="207"/>
      <c r="E35" s="207"/>
      <c r="F35" s="207"/>
      <c r="G35" s="207"/>
      <c r="H35" s="207"/>
      <c r="I35" s="207"/>
      <c r="J35" s="207"/>
      <c r="K35" s="48">
        <f>SUM(K32:K34)</f>
        <v>0</v>
      </c>
      <c r="L35" s="35"/>
      <c r="M35" s="36"/>
    </row>
    <row r="116" spans="2:8" ht="18" x14ac:dyDescent="0.35">
      <c r="B116" s="227" t="s">
        <v>0</v>
      </c>
      <c r="C116" s="227"/>
      <c r="D116" s="227"/>
      <c r="E116" s="227"/>
      <c r="F116" s="227"/>
      <c r="G116" s="227"/>
      <c r="H116" s="227"/>
    </row>
    <row r="117" spans="2:8" ht="15.6" x14ac:dyDescent="0.3">
      <c r="B117" s="228" t="s">
        <v>1</v>
      </c>
      <c r="C117" s="228"/>
      <c r="D117" s="228"/>
      <c r="E117" s="228"/>
      <c r="F117" s="228"/>
      <c r="G117" s="228"/>
      <c r="H117" s="228"/>
    </row>
    <row r="118" spans="2:8" ht="15.6" x14ac:dyDescent="0.3">
      <c r="B118" s="228" t="s">
        <v>2</v>
      </c>
      <c r="C118" s="228"/>
      <c r="D118" s="228"/>
      <c r="E118" s="228"/>
      <c r="F118" s="228"/>
      <c r="G118" s="228"/>
      <c r="H118" s="228"/>
    </row>
    <row r="119" spans="2:8" x14ac:dyDescent="0.3">
      <c r="B119" s="186" t="s">
        <v>65</v>
      </c>
      <c r="C119" s="186"/>
      <c r="D119" s="186"/>
      <c r="E119" s="186"/>
      <c r="F119" s="186"/>
      <c r="G119" s="186"/>
      <c r="H119" s="186"/>
    </row>
    <row r="120" spans="2:8" x14ac:dyDescent="0.3">
      <c r="B120" s="229" t="s">
        <v>66</v>
      </c>
      <c r="C120" s="229"/>
      <c r="D120" s="229"/>
      <c r="E120" s="229"/>
      <c r="F120" s="229"/>
      <c r="G120" s="229"/>
      <c r="H120" s="229"/>
    </row>
    <row r="121" spans="2:8" ht="19.5" customHeight="1" x14ac:dyDescent="0.3">
      <c r="B121" s="49" t="s">
        <v>6</v>
      </c>
      <c r="C121" s="49" t="s">
        <v>81</v>
      </c>
      <c r="D121" s="49" t="s">
        <v>8</v>
      </c>
      <c r="E121" s="49" t="s">
        <v>9</v>
      </c>
      <c r="F121" s="49" t="s">
        <v>10</v>
      </c>
      <c r="G121" s="49" t="s">
        <v>11</v>
      </c>
      <c r="H121" s="49" t="s">
        <v>82</v>
      </c>
    </row>
    <row r="122" spans="2:8" x14ac:dyDescent="0.3">
      <c r="B122" s="50">
        <v>1</v>
      </c>
      <c r="C122" s="44" t="s">
        <v>18</v>
      </c>
      <c r="D122" s="45">
        <v>8</v>
      </c>
      <c r="E122" s="46" t="s">
        <v>19</v>
      </c>
      <c r="F122" s="51">
        <v>155000</v>
      </c>
      <c r="G122" s="52">
        <f>F122*D122</f>
        <v>1240000</v>
      </c>
      <c r="H122" s="53" t="s">
        <v>83</v>
      </c>
    </row>
    <row r="123" spans="2:8" x14ac:dyDescent="0.3">
      <c r="B123" s="50">
        <v>2</v>
      </c>
      <c r="C123" s="44" t="s">
        <v>67</v>
      </c>
      <c r="D123" s="45">
        <v>115</v>
      </c>
      <c r="E123" s="46" t="s">
        <v>24</v>
      </c>
      <c r="F123" s="51">
        <v>46200</v>
      </c>
      <c r="G123" s="52">
        <f t="shared" ref="G123:G138" si="1">F123*D123</f>
        <v>5313000</v>
      </c>
      <c r="H123" s="44"/>
    </row>
    <row r="124" spans="2:8" x14ac:dyDescent="0.3">
      <c r="B124" s="50">
        <v>3</v>
      </c>
      <c r="C124" s="44" t="s">
        <v>25</v>
      </c>
      <c r="D124" s="45">
        <v>13.5</v>
      </c>
      <c r="E124" s="46" t="s">
        <v>24</v>
      </c>
      <c r="F124" s="51">
        <v>44100</v>
      </c>
      <c r="G124" s="52">
        <f t="shared" si="1"/>
        <v>595350</v>
      </c>
      <c r="H124" s="44"/>
    </row>
    <row r="125" spans="2:8" x14ac:dyDescent="0.3">
      <c r="B125" s="50">
        <v>4</v>
      </c>
      <c r="C125" s="44" t="s">
        <v>26</v>
      </c>
      <c r="D125" s="45">
        <v>9</v>
      </c>
      <c r="E125" s="46" t="s">
        <v>24</v>
      </c>
      <c r="F125" s="51">
        <v>42000</v>
      </c>
      <c r="G125" s="52">
        <f t="shared" si="1"/>
        <v>378000</v>
      </c>
      <c r="H125" s="44"/>
    </row>
    <row r="126" spans="2:8" x14ac:dyDescent="0.3">
      <c r="B126" s="50">
        <v>5</v>
      </c>
      <c r="C126" s="44" t="s">
        <v>36</v>
      </c>
      <c r="D126" s="45">
        <v>4</v>
      </c>
      <c r="E126" s="46" t="s">
        <v>68</v>
      </c>
      <c r="F126" s="51">
        <v>2600</v>
      </c>
      <c r="G126" s="52">
        <f t="shared" si="1"/>
        <v>10400</v>
      </c>
      <c r="H126" s="44"/>
    </row>
    <row r="127" spans="2:8" x14ac:dyDescent="0.3">
      <c r="B127" s="50">
        <v>6</v>
      </c>
      <c r="C127" s="44" t="s">
        <v>30</v>
      </c>
      <c r="D127" s="45">
        <v>31</v>
      </c>
      <c r="E127" s="46" t="s">
        <v>29</v>
      </c>
      <c r="F127" s="51">
        <v>17510</v>
      </c>
      <c r="G127" s="52">
        <f>F127*D127</f>
        <v>542810</v>
      </c>
      <c r="H127" s="44"/>
    </row>
    <row r="128" spans="2:8" x14ac:dyDescent="0.3">
      <c r="B128" s="50">
        <v>7</v>
      </c>
      <c r="C128" s="44" t="s">
        <v>69</v>
      </c>
      <c r="D128" s="45">
        <v>65</v>
      </c>
      <c r="E128" s="46" t="s">
        <v>70</v>
      </c>
      <c r="F128" s="51">
        <v>19950</v>
      </c>
      <c r="G128" s="52">
        <f t="shared" si="1"/>
        <v>1296750</v>
      </c>
      <c r="H128" s="44"/>
    </row>
    <row r="129" spans="2:8" x14ac:dyDescent="0.3">
      <c r="B129" s="50">
        <v>8</v>
      </c>
      <c r="C129" s="44" t="s">
        <v>41</v>
      </c>
      <c r="D129" s="45">
        <v>1</v>
      </c>
      <c r="E129" s="46" t="s">
        <v>70</v>
      </c>
      <c r="F129" s="51">
        <v>18720</v>
      </c>
      <c r="G129" s="52">
        <f t="shared" si="1"/>
        <v>18720</v>
      </c>
      <c r="H129" s="44"/>
    </row>
    <row r="130" spans="2:8" x14ac:dyDescent="0.3">
      <c r="B130" s="50">
        <v>9</v>
      </c>
      <c r="C130" s="44" t="s">
        <v>42</v>
      </c>
      <c r="D130" s="45">
        <v>1</v>
      </c>
      <c r="E130" s="46" t="s">
        <v>24</v>
      </c>
      <c r="F130" s="51">
        <v>68250</v>
      </c>
      <c r="G130" s="52">
        <f t="shared" si="1"/>
        <v>68250</v>
      </c>
      <c r="H130" s="44"/>
    </row>
    <row r="131" spans="2:8" x14ac:dyDescent="0.3">
      <c r="B131" s="50">
        <v>10</v>
      </c>
      <c r="C131" s="44" t="s">
        <v>45</v>
      </c>
      <c r="D131" s="45">
        <v>6</v>
      </c>
      <c r="E131" s="46" t="s">
        <v>71</v>
      </c>
      <c r="F131" s="51">
        <v>52500</v>
      </c>
      <c r="G131" s="52">
        <f t="shared" si="1"/>
        <v>315000</v>
      </c>
      <c r="H131" s="44"/>
    </row>
    <row r="132" spans="2:8" x14ac:dyDescent="0.3">
      <c r="B132" s="50">
        <v>11</v>
      </c>
      <c r="C132" s="44" t="s">
        <v>72</v>
      </c>
      <c r="D132" s="45">
        <v>3</v>
      </c>
      <c r="E132" s="46" t="s">
        <v>70</v>
      </c>
      <c r="F132" s="51">
        <v>43260</v>
      </c>
      <c r="G132" s="52">
        <f t="shared" si="1"/>
        <v>129780</v>
      </c>
      <c r="H132" s="44"/>
    </row>
    <row r="133" spans="2:8" x14ac:dyDescent="0.3">
      <c r="B133" s="50">
        <v>12</v>
      </c>
      <c r="C133" s="44" t="s">
        <v>73</v>
      </c>
      <c r="D133" s="45">
        <v>1</v>
      </c>
      <c r="E133" s="46" t="s">
        <v>70</v>
      </c>
      <c r="F133" s="51">
        <v>19570</v>
      </c>
      <c r="G133" s="52">
        <f t="shared" si="1"/>
        <v>19570</v>
      </c>
      <c r="H133" s="44"/>
    </row>
    <row r="134" spans="2:8" x14ac:dyDescent="0.3">
      <c r="B134" s="50">
        <v>13</v>
      </c>
      <c r="C134" s="44" t="s">
        <v>74</v>
      </c>
      <c r="D134" s="45">
        <v>1</v>
      </c>
      <c r="E134" s="46" t="s">
        <v>75</v>
      </c>
      <c r="F134" s="51">
        <v>10500</v>
      </c>
      <c r="G134" s="52">
        <f t="shared" si="1"/>
        <v>10500</v>
      </c>
      <c r="H134" s="44"/>
    </row>
    <row r="135" spans="2:8" x14ac:dyDescent="0.3">
      <c r="B135" s="50">
        <v>14</v>
      </c>
      <c r="C135" s="44" t="s">
        <v>76</v>
      </c>
      <c r="D135" s="45">
        <v>1</v>
      </c>
      <c r="E135" s="46" t="s">
        <v>77</v>
      </c>
      <c r="F135" s="51">
        <v>12360</v>
      </c>
      <c r="G135" s="52">
        <f t="shared" si="1"/>
        <v>12360</v>
      </c>
      <c r="H135" s="44"/>
    </row>
    <row r="136" spans="2:8" x14ac:dyDescent="0.3">
      <c r="B136" s="50">
        <v>15</v>
      </c>
      <c r="C136" s="44" t="s">
        <v>47</v>
      </c>
      <c r="D136" s="45">
        <v>8</v>
      </c>
      <c r="E136" s="46" t="s">
        <v>70</v>
      </c>
      <c r="F136" s="51">
        <v>12600</v>
      </c>
      <c r="G136" s="52">
        <f t="shared" si="1"/>
        <v>100800</v>
      </c>
      <c r="H136" s="44"/>
    </row>
    <row r="137" spans="2:8" x14ac:dyDescent="0.3">
      <c r="B137" s="50">
        <v>16</v>
      </c>
      <c r="C137" s="44" t="s">
        <v>35</v>
      </c>
      <c r="D137" s="45">
        <v>15</v>
      </c>
      <c r="E137" s="46" t="s">
        <v>70</v>
      </c>
      <c r="F137" s="51">
        <v>11440</v>
      </c>
      <c r="G137" s="52">
        <f t="shared" si="1"/>
        <v>171600</v>
      </c>
      <c r="H137" s="44"/>
    </row>
    <row r="138" spans="2:8" x14ac:dyDescent="0.3">
      <c r="B138" s="50">
        <v>17</v>
      </c>
      <c r="C138" s="44" t="s">
        <v>78</v>
      </c>
      <c r="D138" s="45">
        <v>93</v>
      </c>
      <c r="E138" s="46" t="s">
        <v>79</v>
      </c>
      <c r="F138" s="54">
        <v>15750</v>
      </c>
      <c r="G138" s="55">
        <f t="shared" si="1"/>
        <v>1464750</v>
      </c>
      <c r="H138" s="44"/>
    </row>
    <row r="139" spans="2:8" x14ac:dyDescent="0.3">
      <c r="B139" s="230" t="s">
        <v>84</v>
      </c>
      <c r="C139" s="231"/>
      <c r="D139" s="231"/>
      <c r="E139" s="231"/>
      <c r="F139" s="232"/>
      <c r="G139" s="56">
        <f>SUM(G122:G138)</f>
        <v>11687640</v>
      </c>
      <c r="H139" s="57"/>
    </row>
    <row r="140" spans="2:8" x14ac:dyDescent="0.3">
      <c r="B140" s="233" t="s">
        <v>85</v>
      </c>
      <c r="C140" s="234"/>
      <c r="D140" s="234"/>
      <c r="E140" s="234"/>
      <c r="F140" s="235"/>
      <c r="G140" s="58">
        <v>10754000</v>
      </c>
      <c r="H140" s="57"/>
    </row>
    <row r="141" spans="2:8" x14ac:dyDescent="0.3">
      <c r="B141" s="230" t="s">
        <v>86</v>
      </c>
      <c r="C141" s="231"/>
      <c r="D141" s="231"/>
      <c r="E141" s="231"/>
      <c r="F141" s="232"/>
      <c r="G141" s="58">
        <f>MIN(G140-G139)</f>
        <v>-933640</v>
      </c>
      <c r="H141" s="57"/>
    </row>
    <row r="146" spans="2:7" s="59" customFormat="1" ht="18.75" customHeight="1" x14ac:dyDescent="0.3">
      <c r="B146" s="49" t="s">
        <v>6</v>
      </c>
      <c r="C146" s="49" t="s">
        <v>87</v>
      </c>
      <c r="D146" s="49" t="s">
        <v>88</v>
      </c>
      <c r="E146" s="49" t="s">
        <v>89</v>
      </c>
      <c r="F146" s="49" t="s">
        <v>90</v>
      </c>
      <c r="G146" s="49" t="s">
        <v>11</v>
      </c>
    </row>
    <row r="147" spans="2:7" ht="15.75" customHeight="1" x14ac:dyDescent="0.3">
      <c r="B147" s="223">
        <v>1</v>
      </c>
      <c r="C147" s="225" t="s">
        <v>91</v>
      </c>
      <c r="D147" s="50" t="s">
        <v>92</v>
      </c>
      <c r="E147" s="50">
        <v>6</v>
      </c>
      <c r="F147" s="60">
        <v>8000</v>
      </c>
      <c r="G147" s="60">
        <f>F147*E147</f>
        <v>48000</v>
      </c>
    </row>
    <row r="148" spans="2:7" ht="15.75" customHeight="1" x14ac:dyDescent="0.3">
      <c r="B148" s="224"/>
      <c r="C148" s="226"/>
      <c r="D148" s="50" t="s">
        <v>93</v>
      </c>
      <c r="E148" s="50">
        <v>13</v>
      </c>
      <c r="F148" s="60">
        <v>10000</v>
      </c>
      <c r="G148" s="60">
        <f t="shared" ref="G148:G154" si="2">F148*E148</f>
        <v>130000</v>
      </c>
    </row>
    <row r="149" spans="2:7" ht="15.75" customHeight="1" x14ac:dyDescent="0.3">
      <c r="B149" s="223">
        <v>2</v>
      </c>
      <c r="C149" s="225" t="s">
        <v>94</v>
      </c>
      <c r="D149" s="50" t="s">
        <v>92</v>
      </c>
      <c r="E149" s="50">
        <v>28</v>
      </c>
      <c r="F149" s="60">
        <v>8000</v>
      </c>
      <c r="G149" s="60">
        <f t="shared" si="2"/>
        <v>224000</v>
      </c>
    </row>
    <row r="150" spans="2:7" ht="15.75" customHeight="1" x14ac:dyDescent="0.3">
      <c r="B150" s="224"/>
      <c r="C150" s="226"/>
      <c r="D150" s="50" t="s">
        <v>93</v>
      </c>
      <c r="E150" s="50">
        <v>23</v>
      </c>
      <c r="F150" s="60">
        <v>10000</v>
      </c>
      <c r="G150" s="60">
        <f t="shared" si="2"/>
        <v>230000</v>
      </c>
    </row>
    <row r="151" spans="2:7" ht="15.75" customHeight="1" x14ac:dyDescent="0.3">
      <c r="B151" s="223">
        <v>3</v>
      </c>
      <c r="C151" s="225" t="s">
        <v>95</v>
      </c>
      <c r="D151" s="50" t="s">
        <v>92</v>
      </c>
      <c r="E151" s="50">
        <v>29</v>
      </c>
      <c r="F151" s="60">
        <v>8000</v>
      </c>
      <c r="G151" s="60">
        <f t="shared" si="2"/>
        <v>232000</v>
      </c>
    </row>
    <row r="152" spans="2:7" ht="15.75" customHeight="1" x14ac:dyDescent="0.3">
      <c r="B152" s="224"/>
      <c r="C152" s="226"/>
      <c r="D152" s="50" t="s">
        <v>93</v>
      </c>
      <c r="E152" s="50">
        <v>37</v>
      </c>
      <c r="F152" s="60">
        <v>10000</v>
      </c>
      <c r="G152" s="60">
        <f t="shared" si="2"/>
        <v>370000</v>
      </c>
    </row>
    <row r="153" spans="2:7" ht="15.75" customHeight="1" x14ac:dyDescent="0.3">
      <c r="B153" s="50">
        <v>4</v>
      </c>
      <c r="C153" s="61" t="s">
        <v>96</v>
      </c>
      <c r="D153" s="50"/>
      <c r="E153" s="50">
        <v>860</v>
      </c>
      <c r="F153" s="60">
        <v>10000</v>
      </c>
      <c r="G153" s="60">
        <f t="shared" si="2"/>
        <v>8600000</v>
      </c>
    </row>
    <row r="154" spans="2:7" ht="15.75" customHeight="1" x14ac:dyDescent="0.3">
      <c r="B154" s="50">
        <v>5</v>
      </c>
      <c r="C154" s="61" t="s">
        <v>97</v>
      </c>
      <c r="D154" s="50"/>
      <c r="E154" s="50">
        <v>92</v>
      </c>
      <c r="F154" s="60">
        <v>10000</v>
      </c>
      <c r="G154" s="60">
        <f t="shared" si="2"/>
        <v>920000</v>
      </c>
    </row>
    <row r="155" spans="2:7" x14ac:dyDescent="0.3">
      <c r="B155" s="233" t="s">
        <v>84</v>
      </c>
      <c r="C155" s="234"/>
      <c r="D155" s="234"/>
      <c r="E155" s="234"/>
      <c r="F155" s="235"/>
      <c r="G155" s="62">
        <f>SUM(G147:G154)</f>
        <v>10754000</v>
      </c>
    </row>
    <row r="158" spans="2:7" x14ac:dyDescent="0.3">
      <c r="B158" s="236" t="s">
        <v>98</v>
      </c>
      <c r="C158" s="237"/>
      <c r="D158" s="237"/>
      <c r="E158" s="237"/>
      <c r="F158" s="238"/>
    </row>
    <row r="159" spans="2:7" x14ac:dyDescent="0.3">
      <c r="B159" s="239"/>
      <c r="C159" s="240"/>
      <c r="D159" s="240"/>
      <c r="E159" s="240"/>
      <c r="F159" s="241"/>
    </row>
    <row r="160" spans="2:7" x14ac:dyDescent="0.3">
      <c r="B160" s="49" t="s">
        <v>99</v>
      </c>
      <c r="C160" s="49" t="s">
        <v>100</v>
      </c>
      <c r="D160" s="49" t="s">
        <v>101</v>
      </c>
      <c r="E160" s="63" t="s">
        <v>102</v>
      </c>
      <c r="F160" s="63" t="s">
        <v>103</v>
      </c>
    </row>
    <row r="161" spans="2:6" x14ac:dyDescent="0.3">
      <c r="B161" s="50">
        <v>1</v>
      </c>
      <c r="C161" s="64" t="s">
        <v>104</v>
      </c>
      <c r="D161" s="50">
        <v>1</v>
      </c>
      <c r="E161" s="65">
        <v>3560000</v>
      </c>
      <c r="F161" s="65">
        <f>D161*E161</f>
        <v>3560000</v>
      </c>
    </row>
    <row r="162" spans="2:6" x14ac:dyDescent="0.3">
      <c r="B162" s="50">
        <v>2</v>
      </c>
      <c r="C162" s="64" t="s">
        <v>105</v>
      </c>
      <c r="D162" s="50">
        <v>0</v>
      </c>
      <c r="E162" s="65">
        <v>0</v>
      </c>
      <c r="F162" s="65">
        <f>E162*D162</f>
        <v>0</v>
      </c>
    </row>
    <row r="163" spans="2:6" x14ac:dyDescent="0.3">
      <c r="B163" s="50">
        <v>3</v>
      </c>
      <c r="C163" s="64" t="s">
        <v>106</v>
      </c>
      <c r="D163" s="50">
        <v>3</v>
      </c>
      <c r="E163" s="65">
        <v>180000</v>
      </c>
      <c r="F163" s="65">
        <f t="shared" ref="F163:F170" si="3">D163*E163</f>
        <v>540000</v>
      </c>
    </row>
    <row r="164" spans="2:6" x14ac:dyDescent="0.3">
      <c r="B164" s="50">
        <v>4</v>
      </c>
      <c r="C164" s="64" t="s">
        <v>61</v>
      </c>
      <c r="D164" s="50">
        <v>1</v>
      </c>
      <c r="E164" s="65">
        <v>125000</v>
      </c>
      <c r="F164" s="65">
        <f t="shared" si="3"/>
        <v>125000</v>
      </c>
    </row>
    <row r="165" spans="2:6" x14ac:dyDescent="0.3">
      <c r="B165" s="50">
        <v>5</v>
      </c>
      <c r="C165" s="64" t="s">
        <v>107</v>
      </c>
      <c r="D165" s="50">
        <v>1</v>
      </c>
      <c r="E165" s="65">
        <v>120000</v>
      </c>
      <c r="F165" s="65">
        <f t="shared" si="3"/>
        <v>120000</v>
      </c>
    </row>
    <row r="166" spans="2:6" x14ac:dyDescent="0.3">
      <c r="B166" s="50">
        <v>6</v>
      </c>
      <c r="C166" s="64" t="s">
        <v>108</v>
      </c>
      <c r="D166" s="50">
        <v>1</v>
      </c>
      <c r="E166" s="65">
        <v>160000</v>
      </c>
      <c r="F166" s="65">
        <f t="shared" si="3"/>
        <v>160000</v>
      </c>
    </row>
    <row r="167" spans="2:6" x14ac:dyDescent="0.3">
      <c r="B167" s="50">
        <v>7</v>
      </c>
      <c r="C167" s="64" t="s">
        <v>109</v>
      </c>
      <c r="D167" s="50">
        <v>1</v>
      </c>
      <c r="E167" s="65">
        <v>12000</v>
      </c>
      <c r="F167" s="65">
        <f t="shared" si="3"/>
        <v>12000</v>
      </c>
    </row>
    <row r="168" spans="2:6" x14ac:dyDescent="0.3">
      <c r="B168" s="66">
        <v>8</v>
      </c>
      <c r="C168" s="67" t="s">
        <v>110</v>
      </c>
      <c r="D168" s="50">
        <v>0</v>
      </c>
      <c r="E168" s="65">
        <v>0</v>
      </c>
      <c r="F168" s="65">
        <f t="shared" si="3"/>
        <v>0</v>
      </c>
    </row>
    <row r="169" spans="2:6" x14ac:dyDescent="0.3">
      <c r="B169" s="66">
        <v>9</v>
      </c>
      <c r="C169" s="67" t="s">
        <v>111</v>
      </c>
      <c r="D169" s="50">
        <v>0</v>
      </c>
      <c r="E169" s="65">
        <v>0</v>
      </c>
      <c r="F169" s="65">
        <f t="shared" si="3"/>
        <v>0</v>
      </c>
    </row>
    <row r="170" spans="2:6" x14ac:dyDescent="0.3">
      <c r="B170" s="50">
        <v>11</v>
      </c>
      <c r="C170" s="68" t="s">
        <v>112</v>
      </c>
      <c r="D170" s="66">
        <v>1</v>
      </c>
      <c r="E170" s="69">
        <v>250000</v>
      </c>
      <c r="F170" s="65">
        <f t="shared" si="3"/>
        <v>250000</v>
      </c>
    </row>
    <row r="171" spans="2:6" x14ac:dyDescent="0.3">
      <c r="B171" s="233" t="s">
        <v>113</v>
      </c>
      <c r="C171" s="234"/>
      <c r="D171" s="234"/>
      <c r="E171" s="235"/>
      <c r="F171" s="63">
        <f>SUM(F161:F170)</f>
        <v>4767000</v>
      </c>
    </row>
  </sheetData>
  <mergeCells count="38">
    <mergeCell ref="B151:B152"/>
    <mergeCell ref="C151:C152"/>
    <mergeCell ref="B155:F155"/>
    <mergeCell ref="B158:F159"/>
    <mergeCell ref="B171:E171"/>
    <mergeCell ref="B149:B150"/>
    <mergeCell ref="C149:C150"/>
    <mergeCell ref="B35:J35"/>
    <mergeCell ref="B116:H116"/>
    <mergeCell ref="B117:H117"/>
    <mergeCell ref="B118:H118"/>
    <mergeCell ref="B119:H119"/>
    <mergeCell ref="B120:H120"/>
    <mergeCell ref="B139:F139"/>
    <mergeCell ref="B140:F140"/>
    <mergeCell ref="B141:F141"/>
    <mergeCell ref="B147:B148"/>
    <mergeCell ref="C147:C148"/>
    <mergeCell ref="B27:J27"/>
    <mergeCell ref="B30:M30"/>
    <mergeCell ref="H32:H34"/>
    <mergeCell ref="I32:I34"/>
    <mergeCell ref="J32:J34"/>
    <mergeCell ref="K32:K34"/>
    <mergeCell ref="L32:L34"/>
    <mergeCell ref="M32:M34"/>
    <mergeCell ref="M10:M26"/>
    <mergeCell ref="B3:M3"/>
    <mergeCell ref="B4:M4"/>
    <mergeCell ref="B5:M5"/>
    <mergeCell ref="B6:M6"/>
    <mergeCell ref="B7:M7"/>
    <mergeCell ref="B8:M8"/>
    <mergeCell ref="H10:H26"/>
    <mergeCell ref="I10:I26"/>
    <mergeCell ref="J10:J26"/>
    <mergeCell ref="K10:K26"/>
    <mergeCell ref="L10:L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4DAF-B5E9-466D-AAD1-598EC1E6C5DE}">
  <dimension ref="B3:M38"/>
  <sheetViews>
    <sheetView topLeftCell="A22" workbookViewId="0">
      <selection activeCell="G36" sqref="G36"/>
    </sheetView>
  </sheetViews>
  <sheetFormatPr defaultRowHeight="14.4" x14ac:dyDescent="0.3"/>
  <cols>
    <col min="1" max="1" width="12.5546875" customWidth="1"/>
    <col min="2" max="2" width="5.6640625" customWidth="1"/>
    <col min="3" max="3" width="37.109375" customWidth="1"/>
    <col min="4" max="4" width="14.5546875" customWidth="1"/>
    <col min="5" max="5" width="11.109375" customWidth="1"/>
    <col min="6" max="6" width="18.88671875" customWidth="1"/>
    <col min="7" max="7" width="18.5546875" customWidth="1"/>
    <col min="8" max="8" width="21.109375" customWidth="1"/>
    <col min="9" max="9" width="14.88671875" customWidth="1"/>
    <col min="10" max="10" width="22.109375" customWidth="1"/>
    <col min="11" max="11" width="20.5546875" customWidth="1"/>
  </cols>
  <sheetData>
    <row r="3" spans="2:13" ht="18" x14ac:dyDescent="0.35">
      <c r="B3" s="184" t="s">
        <v>0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</row>
    <row r="4" spans="2:13" ht="15.6" x14ac:dyDescent="0.3">
      <c r="B4" s="185" t="s">
        <v>1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</row>
    <row r="5" spans="2:13" ht="15.6" x14ac:dyDescent="0.3">
      <c r="B5" s="185" t="s">
        <v>2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</row>
    <row r="6" spans="2:13" x14ac:dyDescent="0.3">
      <c r="B6" s="186" t="s">
        <v>114</v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</row>
    <row r="7" spans="2:13" ht="15" thickBot="1" x14ac:dyDescent="0.35">
      <c r="B7" s="187" t="s">
        <v>66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</row>
    <row r="8" spans="2:13" ht="15" thickBot="1" x14ac:dyDescent="0.35">
      <c r="B8" s="188" t="s">
        <v>5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90"/>
    </row>
    <row r="9" spans="2:13" ht="15" thickBot="1" x14ac:dyDescent="0.35">
      <c r="B9" s="1" t="s">
        <v>6</v>
      </c>
      <c r="C9" s="2" t="s">
        <v>7</v>
      </c>
      <c r="D9" s="2" t="s">
        <v>8</v>
      </c>
      <c r="E9" s="2" t="s">
        <v>9</v>
      </c>
      <c r="F9" s="2" t="s">
        <v>10</v>
      </c>
      <c r="G9" s="2" t="s">
        <v>11</v>
      </c>
      <c r="H9" s="2" t="s">
        <v>12</v>
      </c>
      <c r="I9" s="2" t="s">
        <v>13</v>
      </c>
      <c r="J9" s="2" t="s">
        <v>14</v>
      </c>
      <c r="K9" s="2" t="s">
        <v>15</v>
      </c>
      <c r="L9" s="2" t="s">
        <v>16</v>
      </c>
      <c r="M9" s="3" t="s">
        <v>17</v>
      </c>
    </row>
    <row r="10" spans="2:13" x14ac:dyDescent="0.3">
      <c r="B10" s="4">
        <v>1</v>
      </c>
      <c r="C10" s="44" t="s">
        <v>115</v>
      </c>
      <c r="D10" s="45">
        <v>8</v>
      </c>
      <c r="E10" s="46" t="s">
        <v>19</v>
      </c>
      <c r="F10" s="47">
        <v>169950</v>
      </c>
      <c r="G10" s="9">
        <f>F10*D10</f>
        <v>1359600</v>
      </c>
      <c r="H10" s="191" t="s">
        <v>58</v>
      </c>
      <c r="I10" s="212" t="s">
        <v>21</v>
      </c>
      <c r="J10" s="221" t="s">
        <v>22</v>
      </c>
      <c r="K10" s="200">
        <f>SUM(G10:G25)</f>
        <v>10685385</v>
      </c>
      <c r="L10" s="203"/>
      <c r="M10" s="181"/>
    </row>
    <row r="11" spans="2:13" x14ac:dyDescent="0.3">
      <c r="B11" s="10">
        <v>2</v>
      </c>
      <c r="C11" s="44" t="s">
        <v>116</v>
      </c>
      <c r="D11" s="45">
        <v>162</v>
      </c>
      <c r="E11" s="46" t="s">
        <v>24</v>
      </c>
      <c r="F11" s="47">
        <v>30500</v>
      </c>
      <c r="G11" s="15">
        <f t="shared" ref="G11:G25" si="0">F11*D11</f>
        <v>4941000</v>
      </c>
      <c r="H11" s="192"/>
      <c r="I11" s="201"/>
      <c r="J11" s="222"/>
      <c r="K11" s="201"/>
      <c r="L11" s="204"/>
      <c r="M11" s="182"/>
    </row>
    <row r="12" spans="2:13" x14ac:dyDescent="0.3">
      <c r="B12" s="10">
        <v>3</v>
      </c>
      <c r="C12" s="44" t="s">
        <v>23</v>
      </c>
      <c r="D12" s="45">
        <v>5</v>
      </c>
      <c r="E12" s="46" t="s">
        <v>70</v>
      </c>
      <c r="F12" s="47">
        <v>21840</v>
      </c>
      <c r="G12" s="15">
        <f t="shared" si="0"/>
        <v>109200</v>
      </c>
      <c r="H12" s="192"/>
      <c r="I12" s="201"/>
      <c r="J12" s="222"/>
      <c r="K12" s="201"/>
      <c r="L12" s="204"/>
      <c r="M12" s="182"/>
    </row>
    <row r="13" spans="2:13" x14ac:dyDescent="0.3">
      <c r="B13" s="10">
        <v>4</v>
      </c>
      <c r="C13" s="44" t="s">
        <v>117</v>
      </c>
      <c r="D13" s="45">
        <v>10</v>
      </c>
      <c r="E13" s="46" t="s">
        <v>75</v>
      </c>
      <c r="F13" s="47">
        <v>10500</v>
      </c>
      <c r="G13" s="15">
        <f t="shared" si="0"/>
        <v>105000</v>
      </c>
      <c r="H13" s="192"/>
      <c r="I13" s="201"/>
      <c r="J13" s="222"/>
      <c r="K13" s="201"/>
      <c r="L13" s="204"/>
      <c r="M13" s="182"/>
    </row>
    <row r="14" spans="2:13" x14ac:dyDescent="0.3">
      <c r="B14" s="10">
        <v>5</v>
      </c>
      <c r="C14" s="44" t="s">
        <v>30</v>
      </c>
      <c r="D14" s="45">
        <v>30</v>
      </c>
      <c r="E14" s="46" t="s">
        <v>62</v>
      </c>
      <c r="F14" s="47">
        <v>17510</v>
      </c>
      <c r="G14" s="15">
        <f>F14*D14</f>
        <v>525300</v>
      </c>
      <c r="H14" s="192"/>
      <c r="I14" s="201"/>
      <c r="J14" s="222"/>
      <c r="K14" s="201"/>
      <c r="L14" s="204"/>
      <c r="M14" s="182"/>
    </row>
    <row r="15" spans="2:13" x14ac:dyDescent="0.3">
      <c r="B15" s="10">
        <v>6</v>
      </c>
      <c r="C15" s="44" t="s">
        <v>118</v>
      </c>
      <c r="D15" s="45">
        <v>5</v>
      </c>
      <c r="E15" s="46" t="s">
        <v>24</v>
      </c>
      <c r="F15" s="47">
        <v>44100</v>
      </c>
      <c r="G15" s="15">
        <f t="shared" si="0"/>
        <v>220500</v>
      </c>
      <c r="H15" s="192"/>
      <c r="I15" s="201"/>
      <c r="J15" s="222"/>
      <c r="K15" s="201"/>
      <c r="L15" s="204"/>
      <c r="M15" s="182"/>
    </row>
    <row r="16" spans="2:13" x14ac:dyDescent="0.3">
      <c r="B16" s="10">
        <v>7</v>
      </c>
      <c r="C16" s="44" t="s">
        <v>26</v>
      </c>
      <c r="D16" s="45">
        <v>3</v>
      </c>
      <c r="E16" s="46" t="s">
        <v>70</v>
      </c>
      <c r="F16" s="47">
        <v>42000</v>
      </c>
      <c r="G16" s="15">
        <f t="shared" si="0"/>
        <v>126000</v>
      </c>
      <c r="H16" s="192"/>
      <c r="I16" s="201"/>
      <c r="J16" s="222"/>
      <c r="K16" s="201"/>
      <c r="L16" s="204"/>
      <c r="M16" s="182"/>
    </row>
    <row r="17" spans="2:13" x14ac:dyDescent="0.3">
      <c r="B17" s="10">
        <v>8</v>
      </c>
      <c r="C17" s="44" t="s">
        <v>42</v>
      </c>
      <c r="D17" s="45">
        <v>3.5</v>
      </c>
      <c r="E17" s="46" t="s">
        <v>70</v>
      </c>
      <c r="F17" s="47">
        <v>68250</v>
      </c>
      <c r="G17" s="15">
        <f t="shared" si="0"/>
        <v>238875</v>
      </c>
      <c r="H17" s="192"/>
      <c r="I17" s="201"/>
      <c r="J17" s="222"/>
      <c r="K17" s="201"/>
      <c r="L17" s="204"/>
      <c r="M17" s="182"/>
    </row>
    <row r="18" spans="2:13" x14ac:dyDescent="0.3">
      <c r="B18" s="10">
        <v>9</v>
      </c>
      <c r="C18" s="44" t="s">
        <v>119</v>
      </c>
      <c r="D18" s="45">
        <v>1</v>
      </c>
      <c r="E18" s="46" t="s">
        <v>24</v>
      </c>
      <c r="F18" s="47">
        <v>53550</v>
      </c>
      <c r="G18" s="15">
        <f t="shared" si="0"/>
        <v>53550</v>
      </c>
      <c r="H18" s="192"/>
      <c r="I18" s="201"/>
      <c r="J18" s="222"/>
      <c r="K18" s="201"/>
      <c r="L18" s="204"/>
      <c r="M18" s="182"/>
    </row>
    <row r="19" spans="2:13" x14ac:dyDescent="0.3">
      <c r="B19" s="10">
        <v>10</v>
      </c>
      <c r="C19" s="44" t="s">
        <v>47</v>
      </c>
      <c r="D19" s="45">
        <v>17</v>
      </c>
      <c r="E19" s="46" t="s">
        <v>24</v>
      </c>
      <c r="F19" s="47">
        <v>12600</v>
      </c>
      <c r="G19" s="15">
        <f t="shared" si="0"/>
        <v>214200</v>
      </c>
      <c r="H19" s="192"/>
      <c r="I19" s="201"/>
      <c r="J19" s="222"/>
      <c r="K19" s="201"/>
      <c r="L19" s="204"/>
      <c r="M19" s="182"/>
    </row>
    <row r="20" spans="2:13" x14ac:dyDescent="0.3">
      <c r="B20" s="10">
        <v>11</v>
      </c>
      <c r="C20" s="44" t="s">
        <v>43</v>
      </c>
      <c r="D20" s="45">
        <v>140</v>
      </c>
      <c r="E20" s="46" t="s">
        <v>71</v>
      </c>
      <c r="F20" s="47">
        <v>2500</v>
      </c>
      <c r="G20" s="15">
        <f t="shared" si="0"/>
        <v>350000</v>
      </c>
      <c r="H20" s="192"/>
      <c r="I20" s="201"/>
      <c r="J20" s="222"/>
      <c r="K20" s="201"/>
      <c r="L20" s="204"/>
      <c r="M20" s="182"/>
    </row>
    <row r="21" spans="2:13" x14ac:dyDescent="0.3">
      <c r="B21" s="10">
        <v>12</v>
      </c>
      <c r="C21" s="44" t="s">
        <v>120</v>
      </c>
      <c r="D21" s="45">
        <v>86</v>
      </c>
      <c r="E21" s="46" t="s">
        <v>70</v>
      </c>
      <c r="F21" s="47">
        <v>10500</v>
      </c>
      <c r="G21" s="15">
        <f t="shared" si="0"/>
        <v>903000</v>
      </c>
      <c r="H21" s="192"/>
      <c r="I21" s="201"/>
      <c r="J21" s="222"/>
      <c r="K21" s="201"/>
      <c r="L21" s="204"/>
      <c r="M21" s="182"/>
    </row>
    <row r="22" spans="2:13" x14ac:dyDescent="0.3">
      <c r="B22" s="10">
        <v>13</v>
      </c>
      <c r="C22" s="44" t="s">
        <v>121</v>
      </c>
      <c r="D22" s="45">
        <v>2</v>
      </c>
      <c r="E22" s="46" t="s">
        <v>70</v>
      </c>
      <c r="F22" s="47">
        <v>82400</v>
      </c>
      <c r="G22" s="15">
        <f t="shared" si="0"/>
        <v>164800</v>
      </c>
      <c r="H22" s="192"/>
      <c r="I22" s="201"/>
      <c r="J22" s="222"/>
      <c r="K22" s="201"/>
      <c r="L22" s="204"/>
      <c r="M22" s="182"/>
    </row>
    <row r="23" spans="2:13" x14ac:dyDescent="0.3">
      <c r="B23" s="10">
        <v>14</v>
      </c>
      <c r="C23" s="44" t="s">
        <v>41</v>
      </c>
      <c r="D23" s="45">
        <v>0.5</v>
      </c>
      <c r="E23" s="46" t="s">
        <v>24</v>
      </c>
      <c r="F23" s="47">
        <v>18720</v>
      </c>
      <c r="G23" s="15">
        <f t="shared" si="0"/>
        <v>9360</v>
      </c>
      <c r="H23" s="192"/>
      <c r="I23" s="201"/>
      <c r="J23" s="222"/>
      <c r="K23" s="201"/>
      <c r="L23" s="204"/>
      <c r="M23" s="182"/>
    </row>
    <row r="24" spans="2:13" x14ac:dyDescent="0.3">
      <c r="B24" s="10">
        <v>15</v>
      </c>
      <c r="C24" s="44" t="s">
        <v>122</v>
      </c>
      <c r="D24" s="45">
        <v>100</v>
      </c>
      <c r="E24" s="46" t="s">
        <v>24</v>
      </c>
      <c r="F24" s="47">
        <v>13650</v>
      </c>
      <c r="G24" s="15">
        <f t="shared" si="0"/>
        <v>1365000</v>
      </c>
      <c r="H24" s="192"/>
      <c r="I24" s="201"/>
      <c r="J24" s="222"/>
      <c r="K24" s="201"/>
      <c r="L24" s="204"/>
      <c r="M24" s="182"/>
    </row>
    <row r="25" spans="2:13" x14ac:dyDescent="0.3">
      <c r="B25" s="10"/>
      <c r="C25" s="11"/>
      <c r="D25" s="12"/>
      <c r="E25" s="13"/>
      <c r="F25" s="14"/>
      <c r="G25" s="15">
        <f t="shared" si="0"/>
        <v>0</v>
      </c>
      <c r="H25" s="192"/>
      <c r="I25" s="201"/>
      <c r="J25" s="222"/>
      <c r="K25" s="201"/>
      <c r="L25" s="204"/>
      <c r="M25" s="182"/>
    </row>
    <row r="26" spans="2:13" x14ac:dyDescent="0.3">
      <c r="B26" s="206" t="s">
        <v>50</v>
      </c>
      <c r="C26" s="207"/>
      <c r="D26" s="207"/>
      <c r="E26" s="207"/>
      <c r="F26" s="207"/>
      <c r="G26" s="207"/>
      <c r="H26" s="207"/>
      <c r="I26" s="207"/>
      <c r="J26" s="208"/>
      <c r="K26" s="21">
        <f>SUM(K10)</f>
        <v>10685385</v>
      </c>
      <c r="L26" s="22"/>
      <c r="M26" s="23"/>
    </row>
    <row r="28" spans="2:13" ht="15" thickBot="1" x14ac:dyDescent="0.35"/>
    <row r="29" spans="2:13" ht="15" thickBot="1" x14ac:dyDescent="0.35">
      <c r="B29" s="209" t="s">
        <v>51</v>
      </c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1"/>
    </row>
    <row r="30" spans="2:13" ht="15" thickBot="1" x14ac:dyDescent="0.35">
      <c r="B30" s="25" t="s">
        <v>52</v>
      </c>
      <c r="C30" s="26" t="s">
        <v>53</v>
      </c>
      <c r="D30" s="26" t="s">
        <v>8</v>
      </c>
      <c r="E30" s="26" t="s">
        <v>9</v>
      </c>
      <c r="F30" s="27" t="s">
        <v>10</v>
      </c>
      <c r="G30" s="27" t="s">
        <v>54</v>
      </c>
      <c r="H30" s="26" t="s">
        <v>12</v>
      </c>
      <c r="I30" s="26" t="s">
        <v>13</v>
      </c>
      <c r="J30" s="26" t="s">
        <v>14</v>
      </c>
      <c r="K30" s="26" t="s">
        <v>15</v>
      </c>
      <c r="L30" s="26" t="s">
        <v>55</v>
      </c>
      <c r="M30" s="28" t="s">
        <v>17</v>
      </c>
    </row>
    <row r="31" spans="2:13" ht="16.5" customHeight="1" x14ac:dyDescent="0.3">
      <c r="B31" s="10">
        <v>1</v>
      </c>
      <c r="C31" s="29" t="s">
        <v>56</v>
      </c>
      <c r="D31" s="30">
        <v>0</v>
      </c>
      <c r="E31" s="30" t="s">
        <v>57</v>
      </c>
      <c r="F31" s="31">
        <v>250000</v>
      </c>
      <c r="G31" s="31">
        <f>D31*F31</f>
        <v>0</v>
      </c>
      <c r="H31" s="216"/>
      <c r="I31" s="216"/>
      <c r="J31" s="216"/>
      <c r="K31" s="216"/>
      <c r="L31" s="216"/>
      <c r="M31" s="219"/>
    </row>
    <row r="32" spans="2:13" ht="16.5" customHeight="1" x14ac:dyDescent="0.3">
      <c r="B32" s="10">
        <v>2</v>
      </c>
      <c r="C32" s="29" t="s">
        <v>80</v>
      </c>
      <c r="D32" s="30">
        <v>0</v>
      </c>
      <c r="E32" s="30" t="s">
        <v>57</v>
      </c>
      <c r="F32" s="31">
        <v>1500000</v>
      </c>
      <c r="G32" s="31">
        <f>D32*F32</f>
        <v>0</v>
      </c>
      <c r="H32" s="218"/>
      <c r="I32" s="218"/>
      <c r="J32" s="218"/>
      <c r="K32" s="218"/>
      <c r="L32" s="217"/>
      <c r="M32" s="220"/>
    </row>
    <row r="33" spans="2:13" ht="38.25" customHeight="1" x14ac:dyDescent="0.3">
      <c r="B33" s="70">
        <v>3</v>
      </c>
      <c r="C33" s="71" t="s">
        <v>61</v>
      </c>
      <c r="D33" s="72">
        <v>25</v>
      </c>
      <c r="E33" s="72" t="s">
        <v>62</v>
      </c>
      <c r="F33" s="73">
        <v>10000</v>
      </c>
      <c r="G33" s="73">
        <f>D33*F33</f>
        <v>250000</v>
      </c>
      <c r="H33" s="75" t="s">
        <v>20</v>
      </c>
      <c r="I33" s="74" t="s">
        <v>59</v>
      </c>
      <c r="J33" s="75" t="s">
        <v>22</v>
      </c>
      <c r="K33" s="118">
        <f>G33</f>
        <v>250000</v>
      </c>
      <c r="L33" s="217"/>
      <c r="M33" s="220"/>
    </row>
    <row r="34" spans="2:13" ht="27" customHeight="1" x14ac:dyDescent="0.3">
      <c r="B34" s="70">
        <v>4</v>
      </c>
      <c r="C34" s="76" t="s">
        <v>125</v>
      </c>
      <c r="D34" s="77">
        <v>102</v>
      </c>
      <c r="E34" s="77" t="s">
        <v>126</v>
      </c>
      <c r="F34" s="78">
        <v>300</v>
      </c>
      <c r="G34" s="73">
        <v>31000</v>
      </c>
      <c r="H34" s="74" t="s">
        <v>127</v>
      </c>
      <c r="I34" s="245" t="s">
        <v>59</v>
      </c>
      <c r="J34" s="246" t="s">
        <v>124</v>
      </c>
      <c r="K34" s="259">
        <f>SUM(G34:G35)</f>
        <v>81000</v>
      </c>
      <c r="L34" s="217"/>
      <c r="M34" s="220"/>
    </row>
    <row r="35" spans="2:13" ht="27" customHeight="1" x14ac:dyDescent="0.3">
      <c r="B35" s="70">
        <v>5</v>
      </c>
      <c r="C35" s="76" t="s">
        <v>128</v>
      </c>
      <c r="D35" s="77">
        <v>1</v>
      </c>
      <c r="E35" s="77" t="s">
        <v>129</v>
      </c>
      <c r="F35" s="78">
        <v>50000</v>
      </c>
      <c r="G35" s="73">
        <f t="shared" ref="G35:G36" si="1">D35*F35</f>
        <v>50000</v>
      </c>
      <c r="H35" s="75" t="s">
        <v>130</v>
      </c>
      <c r="I35" s="202"/>
      <c r="J35" s="196"/>
      <c r="K35" s="260"/>
      <c r="L35" s="217"/>
      <c r="M35" s="220"/>
    </row>
    <row r="36" spans="2:13" ht="33.75" customHeight="1" x14ac:dyDescent="0.3">
      <c r="B36" s="70">
        <v>6</v>
      </c>
      <c r="C36" s="79" t="s">
        <v>131</v>
      </c>
      <c r="D36" s="77">
        <v>5</v>
      </c>
      <c r="E36" s="77" t="s">
        <v>75</v>
      </c>
      <c r="F36" s="78">
        <v>13000</v>
      </c>
      <c r="G36" s="73">
        <f t="shared" si="1"/>
        <v>65000</v>
      </c>
      <c r="H36" s="19" t="s">
        <v>132</v>
      </c>
      <c r="I36" s="74" t="s">
        <v>133</v>
      </c>
      <c r="J36" s="80" t="s">
        <v>134</v>
      </c>
      <c r="K36" s="81">
        <f>G36</f>
        <v>65000</v>
      </c>
      <c r="L36" s="218"/>
      <c r="M36" s="244"/>
    </row>
    <row r="37" spans="2:13" x14ac:dyDescent="0.3">
      <c r="B37" s="10"/>
      <c r="C37" s="29"/>
      <c r="D37" s="30"/>
      <c r="E37" s="30"/>
      <c r="F37" s="31"/>
      <c r="G37" s="31"/>
      <c r="H37" s="82"/>
      <c r="I37" s="83"/>
      <c r="J37" s="84"/>
      <c r="K37" s="85"/>
      <c r="L37" s="82"/>
      <c r="M37" s="86"/>
    </row>
    <row r="38" spans="2:13" x14ac:dyDescent="0.3">
      <c r="B38" s="242" t="s">
        <v>64</v>
      </c>
      <c r="C38" s="243"/>
      <c r="D38" s="243"/>
      <c r="E38" s="243"/>
      <c r="F38" s="243"/>
      <c r="G38" s="243"/>
      <c r="H38" s="243"/>
      <c r="I38" s="243"/>
      <c r="J38" s="243"/>
      <c r="K38" s="87">
        <f>SUM(K31:K37)</f>
        <v>396000</v>
      </c>
      <c r="L38" s="88"/>
      <c r="M38" s="89"/>
    </row>
  </sheetData>
  <mergeCells count="24">
    <mergeCell ref="B38:J38"/>
    <mergeCell ref="B26:J26"/>
    <mergeCell ref="B29:M29"/>
    <mergeCell ref="H31:H32"/>
    <mergeCell ref="I31:I32"/>
    <mergeCell ref="J31:J32"/>
    <mergeCell ref="K31:K32"/>
    <mergeCell ref="L31:L36"/>
    <mergeCell ref="M31:M36"/>
    <mergeCell ref="I34:I35"/>
    <mergeCell ref="J34:J35"/>
    <mergeCell ref="K34:K35"/>
    <mergeCell ref="M10:M25"/>
    <mergeCell ref="B3:M3"/>
    <mergeCell ref="B4:M4"/>
    <mergeCell ref="B5:M5"/>
    <mergeCell ref="B6:M6"/>
    <mergeCell ref="B7:M7"/>
    <mergeCell ref="B8:M8"/>
    <mergeCell ref="H10:H25"/>
    <mergeCell ref="I10:I25"/>
    <mergeCell ref="J10:J25"/>
    <mergeCell ref="K10:K25"/>
    <mergeCell ref="L10:L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75BF-8E48-492B-831A-62656EB22ABD}">
  <dimension ref="B3:M36"/>
  <sheetViews>
    <sheetView zoomScale="90" zoomScaleNormal="90" workbookViewId="0">
      <selection activeCell="D10" sqref="D10"/>
    </sheetView>
  </sheetViews>
  <sheetFormatPr defaultRowHeight="14.4" x14ac:dyDescent="0.3"/>
  <cols>
    <col min="1" max="1" width="12.5546875" customWidth="1"/>
    <col min="2" max="2" width="5.6640625" customWidth="1"/>
    <col min="3" max="3" width="37.109375" customWidth="1"/>
    <col min="4" max="4" width="14.5546875" customWidth="1"/>
    <col min="5" max="5" width="11.109375" customWidth="1"/>
    <col min="6" max="6" width="18.88671875" customWidth="1"/>
    <col min="7" max="7" width="18.5546875" customWidth="1"/>
    <col min="8" max="8" width="19" customWidth="1"/>
    <col min="9" max="9" width="16.109375" customWidth="1"/>
    <col min="10" max="10" width="19.44140625" customWidth="1"/>
    <col min="11" max="11" width="20" customWidth="1"/>
  </cols>
  <sheetData>
    <row r="3" spans="2:13" ht="18" x14ac:dyDescent="0.35">
      <c r="B3" s="184" t="s">
        <v>0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</row>
    <row r="4" spans="2:13" ht="15.6" x14ac:dyDescent="0.3">
      <c r="B4" s="185" t="s">
        <v>1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</row>
    <row r="5" spans="2:13" ht="15.6" x14ac:dyDescent="0.3">
      <c r="B5" s="185" t="s">
        <v>2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</row>
    <row r="6" spans="2:13" x14ac:dyDescent="0.3">
      <c r="B6" s="186" t="s">
        <v>135</v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</row>
    <row r="7" spans="2:13" ht="15" thickBot="1" x14ac:dyDescent="0.35">
      <c r="B7" s="187" t="s">
        <v>66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</row>
    <row r="8" spans="2:13" ht="15" thickBot="1" x14ac:dyDescent="0.35">
      <c r="B8" s="188" t="s">
        <v>5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90"/>
    </row>
    <row r="9" spans="2:13" ht="15" thickBot="1" x14ac:dyDescent="0.35">
      <c r="B9" s="1" t="s">
        <v>6</v>
      </c>
      <c r="C9" s="2" t="s">
        <v>7</v>
      </c>
      <c r="D9" s="2" t="s">
        <v>8</v>
      </c>
      <c r="E9" s="2" t="s">
        <v>9</v>
      </c>
      <c r="F9" s="2" t="s">
        <v>10</v>
      </c>
      <c r="G9" s="2" t="s">
        <v>11</v>
      </c>
      <c r="H9" s="2" t="s">
        <v>12</v>
      </c>
      <c r="I9" s="2" t="s">
        <v>13</v>
      </c>
      <c r="J9" s="2" t="s">
        <v>14</v>
      </c>
      <c r="K9" s="2" t="s">
        <v>15</v>
      </c>
      <c r="L9" s="2" t="s">
        <v>16</v>
      </c>
      <c r="M9" s="3" t="s">
        <v>17</v>
      </c>
    </row>
    <row r="10" spans="2:13" ht="15" customHeight="1" x14ac:dyDescent="0.3">
      <c r="B10" s="4">
        <v>1</v>
      </c>
      <c r="C10" s="44" t="s">
        <v>18</v>
      </c>
      <c r="D10" s="45">
        <v>9</v>
      </c>
      <c r="E10" s="46" t="s">
        <v>19</v>
      </c>
      <c r="F10" s="51">
        <v>160000</v>
      </c>
      <c r="G10" s="9">
        <f>F10*D10</f>
        <v>1440000</v>
      </c>
      <c r="H10" s="191" t="s">
        <v>58</v>
      </c>
      <c r="I10" s="212" t="s">
        <v>59</v>
      </c>
      <c r="J10" s="221" t="s">
        <v>22</v>
      </c>
      <c r="K10" s="200">
        <f>SUM(G10:G23)</f>
        <v>10199030</v>
      </c>
      <c r="L10" s="203"/>
      <c r="M10" s="181"/>
    </row>
    <row r="11" spans="2:13" x14ac:dyDescent="0.3">
      <c r="B11" s="10">
        <v>2</v>
      </c>
      <c r="C11" s="44" t="s">
        <v>49</v>
      </c>
      <c r="D11" s="45">
        <v>40</v>
      </c>
      <c r="E11" s="46" t="s">
        <v>44</v>
      </c>
      <c r="F11" s="51">
        <v>64480</v>
      </c>
      <c r="G11" s="15">
        <f t="shared" ref="G11:G25" si="0">F11*D11</f>
        <v>2579200</v>
      </c>
      <c r="H11" s="192"/>
      <c r="I11" s="201"/>
      <c r="J11" s="222"/>
      <c r="K11" s="250"/>
      <c r="L11" s="204"/>
      <c r="M11" s="182"/>
    </row>
    <row r="12" spans="2:13" x14ac:dyDescent="0.3">
      <c r="B12" s="10">
        <v>3</v>
      </c>
      <c r="C12" s="44" t="s">
        <v>136</v>
      </c>
      <c r="D12" s="45">
        <v>17</v>
      </c>
      <c r="E12" s="46" t="s">
        <v>137</v>
      </c>
      <c r="F12" s="51">
        <v>28840</v>
      </c>
      <c r="G12" s="15">
        <f t="shared" si="0"/>
        <v>490280</v>
      </c>
      <c r="H12" s="192"/>
      <c r="I12" s="201"/>
      <c r="J12" s="222"/>
      <c r="K12" s="250"/>
      <c r="L12" s="204"/>
      <c r="M12" s="182"/>
    </row>
    <row r="13" spans="2:13" x14ac:dyDescent="0.3">
      <c r="B13" s="10">
        <v>4</v>
      </c>
      <c r="C13" s="44" t="s">
        <v>25</v>
      </c>
      <c r="D13" s="45">
        <v>12</v>
      </c>
      <c r="E13" s="46" t="s">
        <v>70</v>
      </c>
      <c r="F13" s="51">
        <v>44100</v>
      </c>
      <c r="G13" s="15">
        <f t="shared" si="0"/>
        <v>529200</v>
      </c>
      <c r="H13" s="192"/>
      <c r="I13" s="201"/>
      <c r="J13" s="222"/>
      <c r="K13" s="250"/>
      <c r="L13" s="204"/>
      <c r="M13" s="182"/>
    </row>
    <row r="14" spans="2:13" x14ac:dyDescent="0.3">
      <c r="B14" s="10">
        <v>5</v>
      </c>
      <c r="C14" s="44" t="s">
        <v>26</v>
      </c>
      <c r="D14" s="45">
        <v>10</v>
      </c>
      <c r="E14" s="46" t="s">
        <v>70</v>
      </c>
      <c r="F14" s="51">
        <v>42000</v>
      </c>
      <c r="G14" s="15">
        <f>F14*D14</f>
        <v>420000</v>
      </c>
      <c r="H14" s="192"/>
      <c r="I14" s="201"/>
      <c r="J14" s="222"/>
      <c r="K14" s="250"/>
      <c r="L14" s="204"/>
      <c r="M14" s="182"/>
    </row>
    <row r="15" spans="2:13" x14ac:dyDescent="0.3">
      <c r="B15" s="10">
        <v>6</v>
      </c>
      <c r="C15" s="44" t="s">
        <v>138</v>
      </c>
      <c r="D15" s="45">
        <v>6</v>
      </c>
      <c r="E15" s="46" t="s">
        <v>70</v>
      </c>
      <c r="F15" s="51">
        <v>23100</v>
      </c>
      <c r="G15" s="15">
        <f t="shared" si="0"/>
        <v>138600</v>
      </c>
      <c r="H15" s="192"/>
      <c r="I15" s="201"/>
      <c r="J15" s="222"/>
      <c r="K15" s="250"/>
      <c r="L15" s="204"/>
      <c r="M15" s="182"/>
    </row>
    <row r="16" spans="2:13" x14ac:dyDescent="0.3">
      <c r="B16" s="10">
        <v>7</v>
      </c>
      <c r="C16" s="44" t="s">
        <v>139</v>
      </c>
      <c r="D16" s="45">
        <v>35</v>
      </c>
      <c r="E16" s="46" t="s">
        <v>140</v>
      </c>
      <c r="F16" s="51">
        <v>18720</v>
      </c>
      <c r="G16" s="15">
        <f t="shared" si="0"/>
        <v>655200</v>
      </c>
      <c r="H16" s="192"/>
      <c r="I16" s="201"/>
      <c r="J16" s="222"/>
      <c r="K16" s="250"/>
      <c r="L16" s="204"/>
      <c r="M16" s="182"/>
    </row>
    <row r="17" spans="2:13" x14ac:dyDescent="0.3">
      <c r="B17" s="10">
        <v>8</v>
      </c>
      <c r="C17" s="44" t="s">
        <v>141</v>
      </c>
      <c r="D17" s="45">
        <v>10</v>
      </c>
      <c r="E17" s="46" t="s">
        <v>75</v>
      </c>
      <c r="F17" s="51">
        <v>10500</v>
      </c>
      <c r="G17" s="15">
        <f t="shared" si="0"/>
        <v>105000</v>
      </c>
      <c r="H17" s="192"/>
      <c r="I17" s="201"/>
      <c r="J17" s="222"/>
      <c r="K17" s="250"/>
      <c r="L17" s="204"/>
      <c r="M17" s="182"/>
    </row>
    <row r="18" spans="2:13" x14ac:dyDescent="0.3">
      <c r="B18" s="10">
        <v>9</v>
      </c>
      <c r="C18" s="44" t="s">
        <v>45</v>
      </c>
      <c r="D18" s="90">
        <v>11</v>
      </c>
      <c r="E18" s="46" t="s">
        <v>71</v>
      </c>
      <c r="F18" s="51">
        <v>52500</v>
      </c>
      <c r="G18" s="15">
        <f t="shared" si="0"/>
        <v>577500</v>
      </c>
      <c r="H18" s="192"/>
      <c r="I18" s="201"/>
      <c r="J18" s="222"/>
      <c r="K18" s="250"/>
      <c r="L18" s="204"/>
      <c r="M18" s="182"/>
    </row>
    <row r="19" spans="2:13" x14ac:dyDescent="0.3">
      <c r="B19" s="10">
        <v>10</v>
      </c>
      <c r="C19" s="44" t="s">
        <v>142</v>
      </c>
      <c r="D19" s="45">
        <v>90</v>
      </c>
      <c r="E19" s="46" t="s">
        <v>70</v>
      </c>
      <c r="F19" s="51">
        <v>12600</v>
      </c>
      <c r="G19" s="15">
        <f t="shared" si="0"/>
        <v>1134000</v>
      </c>
      <c r="H19" s="192"/>
      <c r="I19" s="201"/>
      <c r="J19" s="222"/>
      <c r="K19" s="250"/>
      <c r="L19" s="204"/>
      <c r="M19" s="182"/>
    </row>
    <row r="20" spans="2:13" x14ac:dyDescent="0.3">
      <c r="B20" s="10">
        <v>11</v>
      </c>
      <c r="C20" s="44" t="s">
        <v>143</v>
      </c>
      <c r="D20" s="45">
        <v>3</v>
      </c>
      <c r="E20" s="46" t="s">
        <v>24</v>
      </c>
      <c r="F20" s="51">
        <v>68250</v>
      </c>
      <c r="G20" s="15">
        <f t="shared" si="0"/>
        <v>204750</v>
      </c>
      <c r="H20" s="192"/>
      <c r="I20" s="201"/>
      <c r="J20" s="222"/>
      <c r="K20" s="250"/>
      <c r="L20" s="204"/>
      <c r="M20" s="182"/>
    </row>
    <row r="21" spans="2:13" x14ac:dyDescent="0.3">
      <c r="B21" s="10">
        <v>12</v>
      </c>
      <c r="C21" s="44" t="s">
        <v>36</v>
      </c>
      <c r="D21" s="45">
        <v>5.5</v>
      </c>
      <c r="E21" s="46" t="s">
        <v>68</v>
      </c>
      <c r="F21" s="51">
        <v>2600</v>
      </c>
      <c r="G21" s="15">
        <f t="shared" si="0"/>
        <v>14300</v>
      </c>
      <c r="H21" s="192"/>
      <c r="I21" s="201"/>
      <c r="J21" s="222"/>
      <c r="K21" s="250"/>
      <c r="L21" s="204"/>
      <c r="M21" s="182"/>
    </row>
    <row r="22" spans="2:13" x14ac:dyDescent="0.3">
      <c r="B22" s="10">
        <v>13</v>
      </c>
      <c r="C22" s="44" t="s">
        <v>48</v>
      </c>
      <c r="D22" s="45">
        <v>120</v>
      </c>
      <c r="E22" s="46" t="s">
        <v>24</v>
      </c>
      <c r="F22" s="51">
        <v>15750</v>
      </c>
      <c r="G22" s="15">
        <f t="shared" si="0"/>
        <v>1890000</v>
      </c>
      <c r="H22" s="192"/>
      <c r="I22" s="201"/>
      <c r="J22" s="222"/>
      <c r="K22" s="250"/>
      <c r="L22" s="204"/>
      <c r="M22" s="182"/>
    </row>
    <row r="23" spans="2:13" x14ac:dyDescent="0.3">
      <c r="B23" s="10">
        <v>14</v>
      </c>
      <c r="C23" s="44" t="s">
        <v>144</v>
      </c>
      <c r="D23" s="45">
        <v>2</v>
      </c>
      <c r="E23" s="46" t="s">
        <v>75</v>
      </c>
      <c r="F23" s="51">
        <v>10500</v>
      </c>
      <c r="G23" s="15">
        <f t="shared" si="0"/>
        <v>21000</v>
      </c>
      <c r="H23" s="192"/>
      <c r="I23" s="201"/>
      <c r="J23" s="222"/>
      <c r="K23" s="250"/>
      <c r="L23" s="204"/>
      <c r="M23" s="182"/>
    </row>
    <row r="24" spans="2:13" s="96" customFormat="1" ht="20.25" customHeight="1" x14ac:dyDescent="0.3">
      <c r="B24" s="10">
        <v>15</v>
      </c>
      <c r="C24" s="64" t="s">
        <v>48</v>
      </c>
      <c r="D24" s="91">
        <v>4.5</v>
      </c>
      <c r="E24" s="92" t="s">
        <v>70</v>
      </c>
      <c r="F24" s="93">
        <v>13000</v>
      </c>
      <c r="G24" s="94">
        <f t="shared" si="0"/>
        <v>58500</v>
      </c>
      <c r="H24" s="95" t="s">
        <v>145</v>
      </c>
      <c r="I24" s="247" t="s">
        <v>133</v>
      </c>
      <c r="J24" s="248" t="s">
        <v>146</v>
      </c>
      <c r="K24" s="249">
        <f>SUM(G24:G25)</f>
        <v>70500</v>
      </c>
      <c r="L24" s="204"/>
      <c r="M24" s="182"/>
    </row>
    <row r="25" spans="2:13" s="96" customFormat="1" ht="20.25" customHeight="1" x14ac:dyDescent="0.3">
      <c r="B25" s="10">
        <v>16</v>
      </c>
      <c r="C25" s="64" t="s">
        <v>147</v>
      </c>
      <c r="D25" s="91">
        <v>1</v>
      </c>
      <c r="E25" s="92" t="s">
        <v>148</v>
      </c>
      <c r="F25" s="93">
        <v>12000</v>
      </c>
      <c r="G25" s="94">
        <f t="shared" si="0"/>
        <v>12000</v>
      </c>
      <c r="H25" s="95" t="s">
        <v>149</v>
      </c>
      <c r="I25" s="247"/>
      <c r="J25" s="248"/>
      <c r="K25" s="247"/>
      <c r="L25" s="204"/>
      <c r="M25" s="182"/>
    </row>
    <row r="26" spans="2:13" s="101" customFormat="1" ht="37.799999999999997" x14ac:dyDescent="0.3">
      <c r="B26" s="10">
        <v>17</v>
      </c>
      <c r="C26" s="97" t="s">
        <v>150</v>
      </c>
      <c r="D26" s="98">
        <v>2</v>
      </c>
      <c r="E26" s="92" t="s">
        <v>151</v>
      </c>
      <c r="F26" s="99">
        <v>23500</v>
      </c>
      <c r="G26" s="94">
        <f>F26*D26</f>
        <v>47000</v>
      </c>
      <c r="H26" s="95" t="s">
        <v>152</v>
      </c>
      <c r="I26" s="74" t="s">
        <v>59</v>
      </c>
      <c r="J26" s="75" t="s">
        <v>124</v>
      </c>
      <c r="K26" s="100">
        <f>G26</f>
        <v>47000</v>
      </c>
      <c r="L26" s="204"/>
      <c r="M26" s="182"/>
    </row>
    <row r="27" spans="2:13" x14ac:dyDescent="0.3">
      <c r="B27" s="10"/>
      <c r="C27" s="11"/>
      <c r="D27" s="12"/>
      <c r="E27" s="13"/>
      <c r="F27" s="14"/>
      <c r="G27" s="15"/>
      <c r="H27" s="102"/>
      <c r="I27" s="103"/>
      <c r="J27" s="104"/>
      <c r="K27" s="103"/>
      <c r="L27" s="204"/>
      <c r="M27" s="182"/>
    </row>
    <row r="28" spans="2:13" x14ac:dyDescent="0.3">
      <c r="B28" s="206" t="s">
        <v>50</v>
      </c>
      <c r="C28" s="207"/>
      <c r="D28" s="207"/>
      <c r="E28" s="207"/>
      <c r="F28" s="207"/>
      <c r="G28" s="207"/>
      <c r="H28" s="207"/>
      <c r="I28" s="207"/>
      <c r="J28" s="208"/>
      <c r="K28" s="21">
        <f>SUM(K10:K27)</f>
        <v>10316530</v>
      </c>
      <c r="L28" s="22"/>
      <c r="M28" s="23"/>
    </row>
    <row r="30" spans="2:13" ht="15" thickBot="1" x14ac:dyDescent="0.35"/>
    <row r="31" spans="2:13" ht="15" thickBot="1" x14ac:dyDescent="0.35">
      <c r="B31" s="209" t="s">
        <v>51</v>
      </c>
      <c r="C31" s="210"/>
      <c r="D31" s="210"/>
      <c r="E31" s="210"/>
      <c r="F31" s="210"/>
      <c r="G31" s="210"/>
      <c r="H31" s="210"/>
      <c r="I31" s="210"/>
      <c r="J31" s="210"/>
      <c r="K31" s="210"/>
      <c r="L31" s="210"/>
      <c r="M31" s="211"/>
    </row>
    <row r="32" spans="2:13" ht="15" thickBot="1" x14ac:dyDescent="0.35">
      <c r="B32" s="25" t="s">
        <v>52</v>
      </c>
      <c r="C32" s="26" t="s">
        <v>53</v>
      </c>
      <c r="D32" s="26" t="s">
        <v>8</v>
      </c>
      <c r="E32" s="26" t="s">
        <v>9</v>
      </c>
      <c r="F32" s="27" t="s">
        <v>10</v>
      </c>
      <c r="G32" s="27" t="s">
        <v>54</v>
      </c>
      <c r="H32" s="26" t="s">
        <v>12</v>
      </c>
      <c r="I32" s="26" t="s">
        <v>13</v>
      </c>
      <c r="J32" s="26" t="s">
        <v>14</v>
      </c>
      <c r="K32" s="26" t="s">
        <v>15</v>
      </c>
      <c r="L32" s="26" t="s">
        <v>55</v>
      </c>
      <c r="M32" s="28" t="s">
        <v>17</v>
      </c>
    </row>
    <row r="33" spans="2:13" ht="19.5" customHeight="1" x14ac:dyDescent="0.3">
      <c r="B33" s="10">
        <v>1</v>
      </c>
      <c r="C33" s="29" t="s">
        <v>56</v>
      </c>
      <c r="D33" s="30">
        <v>0</v>
      </c>
      <c r="E33" s="30" t="s">
        <v>57</v>
      </c>
      <c r="F33" s="31">
        <v>250000</v>
      </c>
      <c r="G33" s="31">
        <f>D33*F33</f>
        <v>0</v>
      </c>
      <c r="H33" s="216"/>
      <c r="I33" s="216"/>
      <c r="J33" s="216"/>
      <c r="K33" s="216"/>
      <c r="L33" s="216"/>
      <c r="M33" s="219"/>
    </row>
    <row r="34" spans="2:13" ht="19.5" customHeight="1" x14ac:dyDescent="0.3">
      <c r="B34" s="10">
        <v>2</v>
      </c>
      <c r="C34" s="29" t="s">
        <v>80</v>
      </c>
      <c r="D34" s="30">
        <v>0</v>
      </c>
      <c r="E34" s="30" t="s">
        <v>57</v>
      </c>
      <c r="F34" s="31">
        <v>1500000</v>
      </c>
      <c r="G34" s="31">
        <f>D34*F34</f>
        <v>0</v>
      </c>
      <c r="H34" s="217"/>
      <c r="I34" s="217"/>
      <c r="J34" s="217"/>
      <c r="K34" s="217"/>
      <c r="L34" s="217"/>
      <c r="M34" s="220"/>
    </row>
    <row r="35" spans="2:13" ht="19.5" customHeight="1" x14ac:dyDescent="0.3">
      <c r="B35" s="10">
        <v>3</v>
      </c>
      <c r="C35" s="29" t="s">
        <v>61</v>
      </c>
      <c r="D35" s="30">
        <v>0</v>
      </c>
      <c r="E35" s="30" t="s">
        <v>62</v>
      </c>
      <c r="F35" s="31">
        <v>250000</v>
      </c>
      <c r="G35" s="31">
        <f>D35*F35</f>
        <v>0</v>
      </c>
      <c r="H35" s="218"/>
      <c r="I35" s="218"/>
      <c r="J35" s="218"/>
      <c r="K35" s="218"/>
      <c r="L35" s="218"/>
      <c r="M35" s="220"/>
    </row>
    <row r="36" spans="2:13" x14ac:dyDescent="0.3">
      <c r="B36" s="206" t="s">
        <v>64</v>
      </c>
      <c r="C36" s="207"/>
      <c r="D36" s="207"/>
      <c r="E36" s="207"/>
      <c r="F36" s="207"/>
      <c r="G36" s="207"/>
      <c r="H36" s="207"/>
      <c r="I36" s="207"/>
      <c r="J36" s="207"/>
      <c r="K36" s="48">
        <f>SUM(K33:K35)</f>
        <v>0</v>
      </c>
      <c r="L36" s="35"/>
      <c r="M36" s="36"/>
    </row>
  </sheetData>
  <mergeCells count="24">
    <mergeCell ref="B36:J36"/>
    <mergeCell ref="B28:J28"/>
    <mergeCell ref="B31:M31"/>
    <mergeCell ref="H33:H35"/>
    <mergeCell ref="I33:I35"/>
    <mergeCell ref="J33:J35"/>
    <mergeCell ref="K33:K35"/>
    <mergeCell ref="L33:L35"/>
    <mergeCell ref="M33:M35"/>
    <mergeCell ref="M10:M27"/>
    <mergeCell ref="I24:I25"/>
    <mergeCell ref="J24:J25"/>
    <mergeCell ref="K24:K25"/>
    <mergeCell ref="B3:M3"/>
    <mergeCell ref="B4:M4"/>
    <mergeCell ref="B5:M5"/>
    <mergeCell ref="B6:M6"/>
    <mergeCell ref="B7:M7"/>
    <mergeCell ref="B8:M8"/>
    <mergeCell ref="H10:H23"/>
    <mergeCell ref="I10:I23"/>
    <mergeCell ref="J10:J23"/>
    <mergeCell ref="K10:K23"/>
    <mergeCell ref="L10:L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8532-5AE6-4318-B1C4-A2C65E853142}">
  <dimension ref="B3:M34"/>
  <sheetViews>
    <sheetView topLeftCell="A19" zoomScale="90" zoomScaleNormal="90" workbookViewId="0">
      <selection activeCell="C32" sqref="C32"/>
    </sheetView>
  </sheetViews>
  <sheetFormatPr defaultRowHeight="14.4" x14ac:dyDescent="0.3"/>
  <cols>
    <col min="1" max="1" width="12.5546875" customWidth="1"/>
    <col min="2" max="2" width="5.6640625" customWidth="1"/>
    <col min="3" max="3" width="37.109375" customWidth="1"/>
    <col min="4" max="4" width="14.5546875" customWidth="1"/>
    <col min="5" max="5" width="11.109375" customWidth="1"/>
    <col min="6" max="6" width="18.88671875" customWidth="1"/>
    <col min="7" max="7" width="18.5546875" customWidth="1"/>
    <col min="8" max="8" width="17" customWidth="1"/>
    <col min="9" max="9" width="14.109375" customWidth="1"/>
    <col min="10" max="10" width="21.88671875" customWidth="1"/>
    <col min="11" max="11" width="19.6640625" customWidth="1"/>
  </cols>
  <sheetData>
    <row r="3" spans="2:13" ht="18" x14ac:dyDescent="0.35">
      <c r="B3" s="184" t="s">
        <v>0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</row>
    <row r="4" spans="2:13" ht="15.6" x14ac:dyDescent="0.3">
      <c r="B4" s="185" t="s">
        <v>1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</row>
    <row r="5" spans="2:13" ht="15.6" x14ac:dyDescent="0.3">
      <c r="B5" s="185" t="s">
        <v>2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</row>
    <row r="6" spans="2:13" x14ac:dyDescent="0.3">
      <c r="B6" s="186" t="s">
        <v>153</v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</row>
    <row r="7" spans="2:13" ht="15" thickBot="1" x14ac:dyDescent="0.35">
      <c r="B7" s="187" t="s">
        <v>66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</row>
    <row r="8" spans="2:13" ht="15" thickBot="1" x14ac:dyDescent="0.35">
      <c r="B8" s="188" t="s">
        <v>5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90"/>
    </row>
    <row r="9" spans="2:13" ht="15" thickBot="1" x14ac:dyDescent="0.35">
      <c r="B9" s="1" t="s">
        <v>6</v>
      </c>
      <c r="C9" s="2" t="s">
        <v>7</v>
      </c>
      <c r="D9" s="2" t="s">
        <v>8</v>
      </c>
      <c r="E9" s="2" t="s">
        <v>9</v>
      </c>
      <c r="F9" s="2" t="s">
        <v>10</v>
      </c>
      <c r="G9" s="2" t="s">
        <v>11</v>
      </c>
      <c r="H9" s="2" t="s">
        <v>12</v>
      </c>
      <c r="I9" s="2" t="s">
        <v>13</v>
      </c>
      <c r="J9" s="2" t="s">
        <v>14</v>
      </c>
      <c r="K9" s="2" t="s">
        <v>15</v>
      </c>
      <c r="L9" s="2" t="s">
        <v>16</v>
      </c>
      <c r="M9" s="3" t="s">
        <v>17</v>
      </c>
    </row>
    <row r="10" spans="2:13" x14ac:dyDescent="0.3">
      <c r="B10" s="4">
        <v>1</v>
      </c>
      <c r="C10" s="44" t="s">
        <v>18</v>
      </c>
      <c r="D10" s="45">
        <v>7</v>
      </c>
      <c r="E10" s="46" t="s">
        <v>70</v>
      </c>
      <c r="F10" s="47">
        <v>161200</v>
      </c>
      <c r="G10" s="9">
        <f>F10*D10</f>
        <v>1128400</v>
      </c>
      <c r="H10" s="191" t="s">
        <v>58</v>
      </c>
      <c r="I10" s="212" t="s">
        <v>59</v>
      </c>
      <c r="J10" s="221" t="s">
        <v>22</v>
      </c>
      <c r="K10" s="200">
        <f>SUM(G10:G22)</f>
        <v>10679135</v>
      </c>
      <c r="L10" s="203"/>
      <c r="M10" s="181"/>
    </row>
    <row r="11" spans="2:13" x14ac:dyDescent="0.3">
      <c r="B11" s="10">
        <v>2</v>
      </c>
      <c r="C11" s="44" t="s">
        <v>154</v>
      </c>
      <c r="D11" s="45">
        <v>135</v>
      </c>
      <c r="E11" s="46" t="s">
        <v>24</v>
      </c>
      <c r="F11" s="47">
        <v>37800</v>
      </c>
      <c r="G11" s="15">
        <f t="shared" ref="G11:G22" si="0">F11*D11</f>
        <v>5103000</v>
      </c>
      <c r="H11" s="192"/>
      <c r="I11" s="201"/>
      <c r="J11" s="222"/>
      <c r="K11" s="201"/>
      <c r="L11" s="204"/>
      <c r="M11" s="182"/>
    </row>
    <row r="12" spans="2:13" x14ac:dyDescent="0.3">
      <c r="B12" s="10">
        <v>3</v>
      </c>
      <c r="C12" s="44" t="s">
        <v>42</v>
      </c>
      <c r="D12" s="45">
        <v>3.5</v>
      </c>
      <c r="E12" s="46" t="s">
        <v>70</v>
      </c>
      <c r="F12" s="47">
        <v>68500</v>
      </c>
      <c r="G12" s="15">
        <f t="shared" si="0"/>
        <v>239750</v>
      </c>
      <c r="H12" s="192"/>
      <c r="I12" s="201"/>
      <c r="J12" s="222"/>
      <c r="K12" s="201"/>
      <c r="L12" s="204"/>
      <c r="M12" s="182"/>
    </row>
    <row r="13" spans="2:13" x14ac:dyDescent="0.3">
      <c r="B13" s="10">
        <v>4</v>
      </c>
      <c r="C13" s="44" t="s">
        <v>155</v>
      </c>
      <c r="D13" s="45">
        <v>2</v>
      </c>
      <c r="E13" s="46" t="s">
        <v>75</v>
      </c>
      <c r="F13" s="47">
        <v>65100</v>
      </c>
      <c r="G13" s="15">
        <f t="shared" si="0"/>
        <v>130200</v>
      </c>
      <c r="H13" s="192"/>
      <c r="I13" s="201"/>
      <c r="J13" s="222"/>
      <c r="K13" s="201"/>
      <c r="L13" s="204"/>
      <c r="M13" s="182"/>
    </row>
    <row r="14" spans="2:13" x14ac:dyDescent="0.3">
      <c r="B14" s="10">
        <v>5</v>
      </c>
      <c r="C14" s="44" t="s">
        <v>139</v>
      </c>
      <c r="D14" s="45">
        <v>40</v>
      </c>
      <c r="E14" s="46" t="s">
        <v>62</v>
      </c>
      <c r="F14" s="47">
        <v>17510</v>
      </c>
      <c r="G14" s="15">
        <f>F14*D14</f>
        <v>700400</v>
      </c>
      <c r="H14" s="192"/>
      <c r="I14" s="201"/>
      <c r="J14" s="222"/>
      <c r="K14" s="201"/>
      <c r="L14" s="204"/>
      <c r="M14" s="182"/>
    </row>
    <row r="15" spans="2:13" x14ac:dyDescent="0.3">
      <c r="B15" s="10">
        <v>6</v>
      </c>
      <c r="C15" s="44" t="s">
        <v>156</v>
      </c>
      <c r="D15" s="45">
        <v>3</v>
      </c>
      <c r="E15" s="46" t="s">
        <v>75</v>
      </c>
      <c r="F15" s="47">
        <v>3500</v>
      </c>
      <c r="G15" s="15">
        <f t="shared" si="0"/>
        <v>10500</v>
      </c>
      <c r="H15" s="192"/>
      <c r="I15" s="201"/>
      <c r="J15" s="222"/>
      <c r="K15" s="201"/>
      <c r="L15" s="204"/>
      <c r="M15" s="182"/>
    </row>
    <row r="16" spans="2:13" x14ac:dyDescent="0.3">
      <c r="B16" s="10">
        <v>7</v>
      </c>
      <c r="C16" s="44" t="s">
        <v>43</v>
      </c>
      <c r="D16" s="45">
        <v>140</v>
      </c>
      <c r="E16" s="46" t="s">
        <v>157</v>
      </c>
      <c r="F16" s="47">
        <v>2500</v>
      </c>
      <c r="G16" s="15">
        <f t="shared" si="0"/>
        <v>350000</v>
      </c>
      <c r="H16" s="192"/>
      <c r="I16" s="201"/>
      <c r="J16" s="222"/>
      <c r="K16" s="201"/>
      <c r="L16" s="204"/>
      <c r="M16" s="182"/>
    </row>
    <row r="17" spans="2:13" x14ac:dyDescent="0.3">
      <c r="B17" s="10">
        <v>8</v>
      </c>
      <c r="C17" s="44" t="s">
        <v>47</v>
      </c>
      <c r="D17" s="45">
        <v>17</v>
      </c>
      <c r="E17" s="46" t="s">
        <v>70</v>
      </c>
      <c r="F17" s="47">
        <v>8500</v>
      </c>
      <c r="G17" s="15">
        <f t="shared" si="0"/>
        <v>144500</v>
      </c>
      <c r="H17" s="192"/>
      <c r="I17" s="201"/>
      <c r="J17" s="222"/>
      <c r="K17" s="201"/>
      <c r="L17" s="204"/>
      <c r="M17" s="182"/>
    </row>
    <row r="18" spans="2:13" x14ac:dyDescent="0.3">
      <c r="B18" s="10">
        <v>9</v>
      </c>
      <c r="C18" s="44" t="s">
        <v>158</v>
      </c>
      <c r="D18" s="45">
        <v>4</v>
      </c>
      <c r="E18" s="46" t="s">
        <v>70</v>
      </c>
      <c r="F18" s="47">
        <v>21840</v>
      </c>
      <c r="G18" s="15">
        <f t="shared" si="0"/>
        <v>87360</v>
      </c>
      <c r="H18" s="192"/>
      <c r="I18" s="201"/>
      <c r="J18" s="222"/>
      <c r="K18" s="201"/>
      <c r="L18" s="204"/>
      <c r="M18" s="182"/>
    </row>
    <row r="19" spans="2:13" x14ac:dyDescent="0.3">
      <c r="B19" s="10">
        <v>10</v>
      </c>
      <c r="C19" s="44" t="s">
        <v>159</v>
      </c>
      <c r="D19" s="45">
        <v>61.5</v>
      </c>
      <c r="E19" s="46" t="s">
        <v>70</v>
      </c>
      <c r="F19" s="47">
        <v>26250</v>
      </c>
      <c r="G19" s="15">
        <f t="shared" si="0"/>
        <v>1614375</v>
      </c>
      <c r="H19" s="192"/>
      <c r="I19" s="201"/>
      <c r="J19" s="222"/>
      <c r="K19" s="201"/>
      <c r="L19" s="204"/>
      <c r="M19" s="182"/>
    </row>
    <row r="20" spans="2:13" x14ac:dyDescent="0.3">
      <c r="B20" s="10">
        <v>11</v>
      </c>
      <c r="C20" s="44" t="s">
        <v>160</v>
      </c>
      <c r="D20" s="45">
        <v>4</v>
      </c>
      <c r="E20" s="46" t="s">
        <v>68</v>
      </c>
      <c r="F20" s="47">
        <v>2600</v>
      </c>
      <c r="G20" s="15">
        <f t="shared" si="0"/>
        <v>10400</v>
      </c>
      <c r="H20" s="192"/>
      <c r="I20" s="201"/>
      <c r="J20" s="222"/>
      <c r="K20" s="201"/>
      <c r="L20" s="204"/>
      <c r="M20" s="182"/>
    </row>
    <row r="21" spans="2:13" x14ac:dyDescent="0.3">
      <c r="B21" s="10">
        <v>12</v>
      </c>
      <c r="C21" s="44" t="s">
        <v>161</v>
      </c>
      <c r="D21" s="45">
        <v>85</v>
      </c>
      <c r="E21" s="46" t="s">
        <v>70</v>
      </c>
      <c r="F21" s="47">
        <v>13650</v>
      </c>
      <c r="G21" s="15">
        <f t="shared" si="0"/>
        <v>1160250</v>
      </c>
      <c r="H21" s="192"/>
      <c r="I21" s="201"/>
      <c r="J21" s="222"/>
      <c r="K21" s="201"/>
      <c r="L21" s="204"/>
      <c r="M21" s="182"/>
    </row>
    <row r="22" spans="2:13" x14ac:dyDescent="0.3">
      <c r="B22" s="10"/>
      <c r="C22" s="11"/>
      <c r="D22" s="12"/>
      <c r="E22" s="13"/>
      <c r="F22" s="14"/>
      <c r="G22" s="15">
        <f t="shared" si="0"/>
        <v>0</v>
      </c>
      <c r="H22" s="192"/>
      <c r="I22" s="201"/>
      <c r="J22" s="222"/>
      <c r="K22" s="201"/>
      <c r="L22" s="204"/>
      <c r="M22" s="182"/>
    </row>
    <row r="23" spans="2:13" x14ac:dyDescent="0.3">
      <c r="B23" s="206" t="s">
        <v>50</v>
      </c>
      <c r="C23" s="207"/>
      <c r="D23" s="207"/>
      <c r="E23" s="207"/>
      <c r="F23" s="207"/>
      <c r="G23" s="207"/>
      <c r="H23" s="207"/>
      <c r="I23" s="207"/>
      <c r="J23" s="208"/>
      <c r="K23" s="21">
        <f>SUM(K10)</f>
        <v>10679135</v>
      </c>
      <c r="L23" s="22"/>
      <c r="M23" s="23"/>
    </row>
    <row r="25" spans="2:13" ht="15" thickBot="1" x14ac:dyDescent="0.35"/>
    <row r="26" spans="2:13" ht="15" thickBot="1" x14ac:dyDescent="0.35">
      <c r="B26" s="209" t="s">
        <v>51</v>
      </c>
      <c r="C26" s="210"/>
      <c r="D26" s="210"/>
      <c r="E26" s="210"/>
      <c r="F26" s="210"/>
      <c r="G26" s="210"/>
      <c r="H26" s="210"/>
      <c r="I26" s="210"/>
      <c r="J26" s="210"/>
      <c r="K26" s="210"/>
      <c r="L26" s="210"/>
      <c r="M26" s="211"/>
    </row>
    <row r="27" spans="2:13" ht="15" thickBot="1" x14ac:dyDescent="0.35">
      <c r="B27" s="25" t="s">
        <v>52</v>
      </c>
      <c r="C27" s="26" t="s">
        <v>53</v>
      </c>
      <c r="D27" s="26" t="s">
        <v>8</v>
      </c>
      <c r="E27" s="26" t="s">
        <v>9</v>
      </c>
      <c r="F27" s="27" t="s">
        <v>10</v>
      </c>
      <c r="G27" s="27" t="s">
        <v>54</v>
      </c>
      <c r="H27" s="26" t="s">
        <v>12</v>
      </c>
      <c r="I27" s="26" t="s">
        <v>13</v>
      </c>
      <c r="J27" s="26" t="s">
        <v>14</v>
      </c>
      <c r="K27" s="26" t="s">
        <v>15</v>
      </c>
      <c r="L27" s="26" t="s">
        <v>55</v>
      </c>
      <c r="M27" s="28" t="s">
        <v>17</v>
      </c>
    </row>
    <row r="28" spans="2:13" x14ac:dyDescent="0.3">
      <c r="B28" s="10">
        <v>1</v>
      </c>
      <c r="C28" s="29" t="s">
        <v>56</v>
      </c>
      <c r="D28" s="30">
        <v>0</v>
      </c>
      <c r="E28" s="30" t="s">
        <v>57</v>
      </c>
      <c r="F28" s="31">
        <v>250000</v>
      </c>
      <c r="G28" s="31">
        <f>D28*F28</f>
        <v>0</v>
      </c>
      <c r="H28" s="216"/>
      <c r="I28" s="216"/>
      <c r="J28" s="216"/>
      <c r="K28" s="203"/>
      <c r="L28" s="216"/>
      <c r="M28" s="219"/>
    </row>
    <row r="29" spans="2:13" x14ac:dyDescent="0.3">
      <c r="B29" s="10">
        <v>2</v>
      </c>
      <c r="C29" s="29" t="s">
        <v>80</v>
      </c>
      <c r="D29" s="30">
        <v>0</v>
      </c>
      <c r="E29" s="30" t="s">
        <v>57</v>
      </c>
      <c r="F29" s="31">
        <v>1500000</v>
      </c>
      <c r="G29" s="31">
        <f>D29*F29</f>
        <v>0</v>
      </c>
      <c r="H29" s="217"/>
      <c r="I29" s="217"/>
      <c r="J29" s="217"/>
      <c r="K29" s="204"/>
      <c r="L29" s="217"/>
      <c r="M29" s="220"/>
    </row>
    <row r="30" spans="2:13" x14ac:dyDescent="0.3">
      <c r="B30" s="10">
        <v>3</v>
      </c>
      <c r="C30" s="29" t="s">
        <v>61</v>
      </c>
      <c r="D30" s="30">
        <v>1</v>
      </c>
      <c r="E30" s="30" t="s">
        <v>62</v>
      </c>
      <c r="F30" s="31">
        <v>250000</v>
      </c>
      <c r="G30" s="31">
        <f>D30*F30</f>
        <v>250000</v>
      </c>
      <c r="H30" s="218"/>
      <c r="I30" s="218"/>
      <c r="J30" s="218"/>
      <c r="K30" s="205"/>
      <c r="L30" s="218"/>
      <c r="M30" s="220"/>
    </row>
    <row r="31" spans="2:13" s="101" customFormat="1" ht="25.2" x14ac:dyDescent="0.3">
      <c r="B31" s="10">
        <v>4</v>
      </c>
      <c r="C31" s="67" t="s">
        <v>162</v>
      </c>
      <c r="D31" s="50">
        <v>1</v>
      </c>
      <c r="E31" s="50" t="s">
        <v>163</v>
      </c>
      <c r="F31" s="65">
        <v>40000</v>
      </c>
      <c r="G31" s="31">
        <f t="shared" ref="G31:G33" si="1">D31*F31</f>
        <v>40000</v>
      </c>
      <c r="H31" s="105"/>
      <c r="I31" s="74" t="s">
        <v>59</v>
      </c>
      <c r="J31" s="106" t="s">
        <v>124</v>
      </c>
      <c r="K31" s="107">
        <f>G31</f>
        <v>40000</v>
      </c>
      <c r="L31" s="20"/>
      <c r="M31" s="108"/>
    </row>
    <row r="32" spans="2:13" s="101" customFormat="1" ht="22.5" customHeight="1" x14ac:dyDescent="0.3">
      <c r="B32" s="10">
        <v>5</v>
      </c>
      <c r="C32" s="64" t="s">
        <v>164</v>
      </c>
      <c r="D32" s="50">
        <v>2</v>
      </c>
      <c r="E32" s="50" t="s">
        <v>75</v>
      </c>
      <c r="F32" s="65">
        <v>40000</v>
      </c>
      <c r="G32" s="31">
        <f t="shared" si="1"/>
        <v>80000</v>
      </c>
      <c r="H32" s="251" t="s">
        <v>165</v>
      </c>
      <c r="I32" s="245" t="s">
        <v>133</v>
      </c>
      <c r="J32" s="253" t="s">
        <v>146</v>
      </c>
      <c r="K32" s="254">
        <f>SUM(G32:G33)</f>
        <v>90000</v>
      </c>
      <c r="L32" s="255"/>
      <c r="M32" s="108"/>
    </row>
    <row r="33" spans="2:13" s="101" customFormat="1" ht="22.5" customHeight="1" x14ac:dyDescent="0.3">
      <c r="B33" s="10">
        <v>6</v>
      </c>
      <c r="C33" s="64" t="s">
        <v>166</v>
      </c>
      <c r="D33" s="50">
        <v>2</v>
      </c>
      <c r="E33" s="50" t="s">
        <v>75</v>
      </c>
      <c r="F33" s="65">
        <v>5000</v>
      </c>
      <c r="G33" s="31">
        <f t="shared" si="1"/>
        <v>10000</v>
      </c>
      <c r="H33" s="252"/>
      <c r="I33" s="202"/>
      <c r="J33" s="199"/>
      <c r="K33" s="205"/>
      <c r="L33" s="205"/>
      <c r="M33" s="108"/>
    </row>
    <row r="34" spans="2:13" x14ac:dyDescent="0.3">
      <c r="B34" s="206" t="s">
        <v>64</v>
      </c>
      <c r="C34" s="207"/>
      <c r="D34" s="207"/>
      <c r="E34" s="207"/>
      <c r="F34" s="207"/>
      <c r="G34" s="207"/>
      <c r="H34" s="207"/>
      <c r="I34" s="207"/>
      <c r="J34" s="207"/>
      <c r="K34" s="109">
        <f>SUM(K28:K33)</f>
        <v>130000</v>
      </c>
      <c r="L34" s="35"/>
      <c r="M34" s="36"/>
    </row>
  </sheetData>
  <mergeCells count="26">
    <mergeCell ref="B34:J34"/>
    <mergeCell ref="B23:J23"/>
    <mergeCell ref="B26:M26"/>
    <mergeCell ref="H28:H30"/>
    <mergeCell ref="I28:I30"/>
    <mergeCell ref="J28:J30"/>
    <mergeCell ref="K28:K30"/>
    <mergeCell ref="L28:L30"/>
    <mergeCell ref="M28:M30"/>
    <mergeCell ref="H32:H33"/>
    <mergeCell ref="I32:I33"/>
    <mergeCell ref="J32:J33"/>
    <mergeCell ref="K32:K33"/>
    <mergeCell ref="L32:L33"/>
    <mergeCell ref="M10:M22"/>
    <mergeCell ref="B3:M3"/>
    <mergeCell ref="B4:M4"/>
    <mergeCell ref="B5:M5"/>
    <mergeCell ref="B6:M6"/>
    <mergeCell ref="B7:M7"/>
    <mergeCell ref="B8:M8"/>
    <mergeCell ref="H10:H22"/>
    <mergeCell ref="I10:I22"/>
    <mergeCell ref="J10:J22"/>
    <mergeCell ref="K10:K22"/>
    <mergeCell ref="L10:L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6BAD6-83B7-4E22-B49E-2534BC766428}">
  <dimension ref="B3:M28"/>
  <sheetViews>
    <sheetView topLeftCell="B7" zoomScale="90" zoomScaleNormal="90" workbookViewId="0">
      <selection activeCell="K27" sqref="K27"/>
    </sheetView>
  </sheetViews>
  <sheetFormatPr defaultRowHeight="14.4" x14ac:dyDescent="0.3"/>
  <cols>
    <col min="1" max="1" width="12.5546875" customWidth="1"/>
    <col min="2" max="2" width="5.6640625" customWidth="1"/>
    <col min="3" max="3" width="37.109375" customWidth="1"/>
    <col min="4" max="4" width="14.5546875" customWidth="1"/>
    <col min="5" max="5" width="11.109375" customWidth="1"/>
    <col min="6" max="6" width="18.88671875" customWidth="1"/>
    <col min="7" max="7" width="18.5546875" customWidth="1"/>
    <col min="8" max="8" width="16.88671875" customWidth="1"/>
    <col min="9" max="9" width="13.44140625" customWidth="1"/>
    <col min="10" max="10" width="21.109375" customWidth="1"/>
    <col min="11" max="11" width="19.6640625" customWidth="1"/>
  </cols>
  <sheetData>
    <row r="3" spans="2:13" ht="18" x14ac:dyDescent="0.35">
      <c r="B3" s="184" t="s">
        <v>0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</row>
    <row r="4" spans="2:13" ht="15.6" x14ac:dyDescent="0.3">
      <c r="B4" s="185" t="s">
        <v>1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</row>
    <row r="5" spans="2:13" ht="15.6" x14ac:dyDescent="0.3">
      <c r="B5" s="185" t="s">
        <v>2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</row>
    <row r="6" spans="2:13" x14ac:dyDescent="0.3">
      <c r="B6" s="186" t="s">
        <v>167</v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</row>
    <row r="7" spans="2:13" ht="15" thickBot="1" x14ac:dyDescent="0.35">
      <c r="B7" s="187" t="s">
        <v>66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</row>
    <row r="8" spans="2:13" ht="15" thickBot="1" x14ac:dyDescent="0.35">
      <c r="B8" s="188" t="s">
        <v>5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90"/>
    </row>
    <row r="9" spans="2:13" ht="15" thickBot="1" x14ac:dyDescent="0.35">
      <c r="B9" s="1" t="s">
        <v>6</v>
      </c>
      <c r="C9" s="2" t="s">
        <v>7</v>
      </c>
      <c r="D9" s="2" t="s">
        <v>8</v>
      </c>
      <c r="E9" s="2" t="s">
        <v>9</v>
      </c>
      <c r="F9" s="2" t="s">
        <v>10</v>
      </c>
      <c r="G9" s="2" t="s">
        <v>11</v>
      </c>
      <c r="H9" s="2" t="s">
        <v>12</v>
      </c>
      <c r="I9" s="2" t="s">
        <v>13</v>
      </c>
      <c r="J9" s="2" t="s">
        <v>14</v>
      </c>
      <c r="K9" s="2" t="s">
        <v>15</v>
      </c>
      <c r="L9" s="2" t="s">
        <v>16</v>
      </c>
      <c r="M9" s="3" t="s">
        <v>17</v>
      </c>
    </row>
    <row r="10" spans="2:13" s="101" customFormat="1" ht="17.25" customHeight="1" x14ac:dyDescent="0.3">
      <c r="B10" s="4">
        <v>1</v>
      </c>
      <c r="C10" s="110" t="s">
        <v>168</v>
      </c>
      <c r="D10" s="91">
        <v>1140</v>
      </c>
      <c r="E10" s="91" t="s">
        <v>75</v>
      </c>
      <c r="F10" s="99">
        <v>2100</v>
      </c>
      <c r="G10" s="111">
        <f>F10*D10</f>
        <v>2394000</v>
      </c>
      <c r="H10" s="191" t="s">
        <v>58</v>
      </c>
      <c r="I10" s="212" t="s">
        <v>59</v>
      </c>
      <c r="J10" s="221" t="s">
        <v>22</v>
      </c>
      <c r="K10" s="200">
        <f>SUM(G10:G13)</f>
        <v>8432240</v>
      </c>
      <c r="L10" s="203"/>
      <c r="M10" s="181"/>
    </row>
    <row r="11" spans="2:13" s="101" customFormat="1" ht="17.25" customHeight="1" x14ac:dyDescent="0.3">
      <c r="B11" s="10">
        <v>2</v>
      </c>
      <c r="C11" s="110" t="s">
        <v>49</v>
      </c>
      <c r="D11" s="91">
        <v>38</v>
      </c>
      <c r="E11" s="91" t="s">
        <v>71</v>
      </c>
      <c r="F11" s="99">
        <v>64480</v>
      </c>
      <c r="G11" s="94">
        <f t="shared" ref="G11:G13" si="0">F11*D11</f>
        <v>2450240</v>
      </c>
      <c r="H11" s="192"/>
      <c r="I11" s="201"/>
      <c r="J11" s="222"/>
      <c r="K11" s="201"/>
      <c r="L11" s="204"/>
      <c r="M11" s="182"/>
    </row>
    <row r="12" spans="2:13" s="101" customFormat="1" ht="17.25" customHeight="1" x14ac:dyDescent="0.3">
      <c r="B12" s="10">
        <v>3</v>
      </c>
      <c r="C12" s="110" t="s">
        <v>169</v>
      </c>
      <c r="D12" s="91">
        <v>5</v>
      </c>
      <c r="E12" s="91" t="s">
        <v>170</v>
      </c>
      <c r="F12" s="99">
        <v>499200</v>
      </c>
      <c r="G12" s="94">
        <f t="shared" si="0"/>
        <v>2496000</v>
      </c>
      <c r="H12" s="192"/>
      <c r="I12" s="201"/>
      <c r="J12" s="222"/>
      <c r="K12" s="201"/>
      <c r="L12" s="204"/>
      <c r="M12" s="182"/>
    </row>
    <row r="13" spans="2:13" s="101" customFormat="1" ht="17.25" customHeight="1" x14ac:dyDescent="0.3">
      <c r="B13" s="10">
        <v>4</v>
      </c>
      <c r="C13" s="110" t="s">
        <v>161</v>
      </c>
      <c r="D13" s="91">
        <v>80</v>
      </c>
      <c r="E13" s="91" t="s">
        <v>70</v>
      </c>
      <c r="F13" s="99">
        <v>13650</v>
      </c>
      <c r="G13" s="94">
        <f t="shared" si="0"/>
        <v>1092000</v>
      </c>
      <c r="H13" s="192"/>
      <c r="I13" s="201"/>
      <c r="J13" s="222"/>
      <c r="K13" s="201"/>
      <c r="L13" s="204"/>
      <c r="M13" s="182"/>
    </row>
    <row r="14" spans="2:13" x14ac:dyDescent="0.3">
      <c r="B14" s="206" t="s">
        <v>50</v>
      </c>
      <c r="C14" s="207"/>
      <c r="D14" s="207"/>
      <c r="E14" s="207"/>
      <c r="F14" s="207"/>
      <c r="G14" s="207"/>
      <c r="H14" s="207"/>
      <c r="I14" s="207"/>
      <c r="J14" s="208"/>
      <c r="K14" s="21">
        <f>SUM(K10)</f>
        <v>8432240</v>
      </c>
      <c r="L14" s="22"/>
      <c r="M14" s="23"/>
    </row>
    <row r="15" spans="2:13" x14ac:dyDescent="0.3">
      <c r="B15" s="59"/>
      <c r="C15" s="59"/>
      <c r="D15" s="59"/>
      <c r="E15" s="59"/>
      <c r="F15" s="59"/>
      <c r="G15" s="59"/>
      <c r="H15" s="59"/>
      <c r="I15" s="59"/>
      <c r="J15" s="59"/>
      <c r="K15" s="112"/>
      <c r="L15" s="24"/>
      <c r="M15" s="24"/>
    </row>
    <row r="16" spans="2:13" x14ac:dyDescent="0.3">
      <c r="B16" s="59"/>
      <c r="C16" s="59"/>
      <c r="D16" s="59"/>
      <c r="E16" s="59"/>
      <c r="F16" s="59"/>
      <c r="G16" s="59"/>
      <c r="H16" s="59"/>
      <c r="I16" s="59"/>
      <c r="J16" s="59"/>
      <c r="K16" s="112"/>
      <c r="L16" s="24"/>
      <c r="M16" s="24"/>
    </row>
    <row r="18" spans="2:13" ht="15" thickBot="1" x14ac:dyDescent="0.35"/>
    <row r="19" spans="2:13" ht="15" thickBot="1" x14ac:dyDescent="0.35">
      <c r="B19" s="209" t="s">
        <v>51</v>
      </c>
      <c r="C19" s="210"/>
      <c r="D19" s="210"/>
      <c r="E19" s="210"/>
      <c r="F19" s="210"/>
      <c r="G19" s="210"/>
      <c r="H19" s="210"/>
      <c r="I19" s="210"/>
      <c r="J19" s="210"/>
      <c r="K19" s="210"/>
      <c r="L19" s="210"/>
      <c r="M19" s="211"/>
    </row>
    <row r="20" spans="2:13" ht="15" thickBot="1" x14ac:dyDescent="0.35">
      <c r="B20" s="25" t="s">
        <v>52</v>
      </c>
      <c r="C20" s="26" t="s">
        <v>53</v>
      </c>
      <c r="D20" s="26" t="s">
        <v>8</v>
      </c>
      <c r="E20" s="26" t="s">
        <v>9</v>
      </c>
      <c r="F20" s="27" t="s">
        <v>10</v>
      </c>
      <c r="G20" s="27" t="s">
        <v>54</v>
      </c>
      <c r="H20" s="26" t="s">
        <v>12</v>
      </c>
      <c r="I20" s="26" t="s">
        <v>13</v>
      </c>
      <c r="J20" s="26" t="s">
        <v>14</v>
      </c>
      <c r="K20" s="113" t="s">
        <v>15</v>
      </c>
      <c r="L20" s="114" t="s">
        <v>55</v>
      </c>
      <c r="M20" s="115" t="s">
        <v>17</v>
      </c>
    </row>
    <row r="21" spans="2:13" ht="18.75" customHeight="1" x14ac:dyDescent="0.3">
      <c r="B21" s="10">
        <v>1</v>
      </c>
      <c r="C21" s="29" t="s">
        <v>56</v>
      </c>
      <c r="D21" s="30">
        <v>0</v>
      </c>
      <c r="E21" s="30" t="s">
        <v>57</v>
      </c>
      <c r="F21" s="31">
        <v>250000</v>
      </c>
      <c r="G21" s="31">
        <f>D21*F21</f>
        <v>0</v>
      </c>
      <c r="H21" s="194" t="s">
        <v>58</v>
      </c>
      <c r="I21" s="212" t="s">
        <v>59</v>
      </c>
      <c r="J21" s="194" t="s">
        <v>22</v>
      </c>
      <c r="K21" s="256">
        <f>SUM(G21:G26)</f>
        <v>542810</v>
      </c>
      <c r="L21" s="203"/>
      <c r="M21" s="219"/>
    </row>
    <row r="22" spans="2:13" ht="18.75" customHeight="1" x14ac:dyDescent="0.3">
      <c r="B22" s="10">
        <v>2</v>
      </c>
      <c r="C22" s="29" t="s">
        <v>80</v>
      </c>
      <c r="D22" s="30">
        <v>0</v>
      </c>
      <c r="E22" s="30" t="s">
        <v>57</v>
      </c>
      <c r="F22" s="31">
        <v>1500000</v>
      </c>
      <c r="G22" s="31">
        <f>D22*F22</f>
        <v>0</v>
      </c>
      <c r="H22" s="195"/>
      <c r="I22" s="201"/>
      <c r="J22" s="195"/>
      <c r="K22" s="270"/>
      <c r="L22" s="204"/>
      <c r="M22" s="220"/>
    </row>
    <row r="23" spans="2:13" ht="18.75" customHeight="1" x14ac:dyDescent="0.3">
      <c r="B23" s="10">
        <v>3</v>
      </c>
      <c r="C23" s="44" t="s">
        <v>171</v>
      </c>
      <c r="D23" s="116">
        <v>5</v>
      </c>
      <c r="E23" s="117" t="s">
        <v>172</v>
      </c>
      <c r="F23" s="51">
        <v>17510</v>
      </c>
      <c r="G23" s="31">
        <f t="shared" ref="G23:G26" si="1">D23*F23</f>
        <v>87550</v>
      </c>
      <c r="H23" s="195"/>
      <c r="I23" s="201"/>
      <c r="J23" s="195"/>
      <c r="K23" s="270"/>
      <c r="L23" s="204"/>
      <c r="M23" s="220"/>
    </row>
    <row r="24" spans="2:13" ht="18.75" customHeight="1" x14ac:dyDescent="0.3">
      <c r="B24" s="10">
        <v>4</v>
      </c>
      <c r="C24" s="44" t="s">
        <v>173</v>
      </c>
      <c r="D24" s="116">
        <v>2</v>
      </c>
      <c r="E24" s="117" t="s">
        <v>172</v>
      </c>
      <c r="F24" s="51">
        <v>16480</v>
      </c>
      <c r="G24" s="31">
        <f t="shared" si="1"/>
        <v>32960</v>
      </c>
      <c r="H24" s="195"/>
      <c r="I24" s="201"/>
      <c r="J24" s="195"/>
      <c r="K24" s="270"/>
      <c r="L24" s="204"/>
      <c r="M24" s="220"/>
    </row>
    <row r="25" spans="2:13" ht="18.75" customHeight="1" x14ac:dyDescent="0.3">
      <c r="B25" s="10">
        <v>5</v>
      </c>
      <c r="C25" s="44" t="s">
        <v>174</v>
      </c>
      <c r="D25" s="116">
        <v>11</v>
      </c>
      <c r="E25" s="117" t="s">
        <v>75</v>
      </c>
      <c r="F25" s="51">
        <v>10300</v>
      </c>
      <c r="G25" s="31">
        <f t="shared" si="1"/>
        <v>113300</v>
      </c>
      <c r="H25" s="195"/>
      <c r="I25" s="201"/>
      <c r="J25" s="195"/>
      <c r="K25" s="270"/>
      <c r="L25" s="204"/>
      <c r="M25" s="220"/>
    </row>
    <row r="26" spans="2:13" ht="18.75" customHeight="1" x14ac:dyDescent="0.3">
      <c r="B26" s="10">
        <v>6</v>
      </c>
      <c r="C26" s="44" t="s">
        <v>231</v>
      </c>
      <c r="D26" s="116">
        <v>30</v>
      </c>
      <c r="E26" s="117" t="s">
        <v>75</v>
      </c>
      <c r="F26" s="51">
        <v>10300</v>
      </c>
      <c r="G26" s="31">
        <f t="shared" si="1"/>
        <v>309000</v>
      </c>
      <c r="H26" s="196"/>
      <c r="I26" s="202"/>
      <c r="J26" s="196"/>
      <c r="K26" s="260"/>
      <c r="L26" s="204"/>
      <c r="M26" s="220"/>
    </row>
    <row r="27" spans="2:13" ht="37.799999999999997" x14ac:dyDescent="0.3">
      <c r="B27" s="10">
        <v>7</v>
      </c>
      <c r="C27" s="29" t="s">
        <v>61</v>
      </c>
      <c r="D27" s="30">
        <v>30</v>
      </c>
      <c r="E27" s="30" t="s">
        <v>62</v>
      </c>
      <c r="F27" s="31">
        <v>10000</v>
      </c>
      <c r="G27" s="31">
        <f>D27*F27</f>
        <v>300000</v>
      </c>
      <c r="H27" s="74" t="s">
        <v>123</v>
      </c>
      <c r="I27" s="74" t="s">
        <v>133</v>
      </c>
      <c r="J27" s="80" t="s">
        <v>146</v>
      </c>
      <c r="K27" s="118">
        <f>G27</f>
        <v>300000</v>
      </c>
      <c r="L27" s="205"/>
      <c r="M27" s="220"/>
    </row>
    <row r="28" spans="2:13" x14ac:dyDescent="0.3">
      <c r="B28" s="206" t="s">
        <v>64</v>
      </c>
      <c r="C28" s="207"/>
      <c r="D28" s="207"/>
      <c r="E28" s="207"/>
      <c r="F28" s="207"/>
      <c r="G28" s="207"/>
      <c r="H28" s="207"/>
      <c r="I28" s="207"/>
      <c r="J28" s="207"/>
      <c r="K28" s="119">
        <f>SUM(K21:K27)</f>
        <v>842810</v>
      </c>
      <c r="L28" s="35"/>
      <c r="M28" s="36"/>
    </row>
  </sheetData>
  <mergeCells count="21">
    <mergeCell ref="B28:J28"/>
    <mergeCell ref="B14:J14"/>
    <mergeCell ref="B19:M19"/>
    <mergeCell ref="M21:M27"/>
    <mergeCell ref="H21:H26"/>
    <mergeCell ref="I21:I26"/>
    <mergeCell ref="J21:J26"/>
    <mergeCell ref="K21:K26"/>
    <mergeCell ref="L21:L27"/>
    <mergeCell ref="M10:M13"/>
    <mergeCell ref="B3:M3"/>
    <mergeCell ref="B4:M4"/>
    <mergeCell ref="B5:M5"/>
    <mergeCell ref="B6:M6"/>
    <mergeCell ref="B7:M7"/>
    <mergeCell ref="B8:M8"/>
    <mergeCell ref="H10:H13"/>
    <mergeCell ref="I10:I13"/>
    <mergeCell ref="J10:J13"/>
    <mergeCell ref="K10:K13"/>
    <mergeCell ref="L10:L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D6A7-92E2-407A-841D-67E62B41BDF9}">
  <dimension ref="B3:M42"/>
  <sheetViews>
    <sheetView topLeftCell="B4" workbookViewId="0">
      <selection activeCell="D14" sqref="D14"/>
    </sheetView>
  </sheetViews>
  <sheetFormatPr defaultRowHeight="14.4" x14ac:dyDescent="0.3"/>
  <cols>
    <col min="1" max="1" width="12.5546875" customWidth="1"/>
    <col min="2" max="2" width="5.6640625" customWidth="1"/>
    <col min="3" max="3" width="37.109375" customWidth="1"/>
    <col min="4" max="4" width="14.5546875" customWidth="1"/>
    <col min="5" max="5" width="11.109375" customWidth="1"/>
    <col min="6" max="6" width="18.88671875" customWidth="1"/>
    <col min="7" max="7" width="18.5546875" customWidth="1"/>
    <col min="8" max="8" width="20.44140625" customWidth="1"/>
    <col min="9" max="9" width="14" customWidth="1"/>
    <col min="10" max="10" width="23.6640625" customWidth="1"/>
    <col min="11" max="11" width="20.6640625" customWidth="1"/>
  </cols>
  <sheetData>
    <row r="3" spans="2:13" ht="18" x14ac:dyDescent="0.35">
      <c r="B3" s="184" t="s">
        <v>0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</row>
    <row r="4" spans="2:13" ht="15.6" x14ac:dyDescent="0.3">
      <c r="B4" s="185" t="s">
        <v>1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</row>
    <row r="5" spans="2:13" ht="15.6" x14ac:dyDescent="0.3">
      <c r="B5" s="185" t="s">
        <v>2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</row>
    <row r="6" spans="2:13" x14ac:dyDescent="0.3">
      <c r="B6" s="186" t="s">
        <v>175</v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</row>
    <row r="7" spans="2:13" ht="15" thickBot="1" x14ac:dyDescent="0.35">
      <c r="B7" s="187" t="s">
        <v>66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</row>
    <row r="8" spans="2:13" ht="15" thickBot="1" x14ac:dyDescent="0.35">
      <c r="B8" s="188" t="s">
        <v>5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90"/>
    </row>
    <row r="9" spans="2:13" ht="15" thickBot="1" x14ac:dyDescent="0.35">
      <c r="B9" s="25" t="s">
        <v>6</v>
      </c>
      <c r="C9" s="26" t="s">
        <v>7</v>
      </c>
      <c r="D9" s="26" t="s">
        <v>8</v>
      </c>
      <c r="E9" s="26" t="s">
        <v>9</v>
      </c>
      <c r="F9" s="26" t="s">
        <v>10</v>
      </c>
      <c r="G9" s="26" t="s">
        <v>11</v>
      </c>
      <c r="H9" s="26" t="s">
        <v>12</v>
      </c>
      <c r="I9" s="26" t="s">
        <v>13</v>
      </c>
      <c r="J9" s="26" t="s">
        <v>14</v>
      </c>
      <c r="K9" s="26" t="s">
        <v>15</v>
      </c>
      <c r="L9" s="28" t="s">
        <v>16</v>
      </c>
      <c r="M9" s="284" t="s">
        <v>17</v>
      </c>
    </row>
    <row r="10" spans="2:13" ht="15" customHeight="1" x14ac:dyDescent="0.3">
      <c r="B10" s="38">
        <v>1</v>
      </c>
      <c r="C10" s="39" t="s">
        <v>241</v>
      </c>
      <c r="D10" s="40">
        <v>13</v>
      </c>
      <c r="E10" s="139" t="s">
        <v>19</v>
      </c>
      <c r="F10" s="140">
        <v>175000</v>
      </c>
      <c r="G10" s="43">
        <f>F10*D10</f>
        <v>2275000</v>
      </c>
      <c r="H10" s="192" t="s">
        <v>58</v>
      </c>
      <c r="I10" s="201" t="s">
        <v>59</v>
      </c>
      <c r="J10" s="222" t="s">
        <v>22</v>
      </c>
      <c r="K10" s="250">
        <f>SUM(G10:G28)</f>
        <v>17803910</v>
      </c>
      <c r="L10" s="204"/>
      <c r="M10" s="181"/>
    </row>
    <row r="11" spans="2:13" x14ac:dyDescent="0.3">
      <c r="B11" s="10">
        <v>2</v>
      </c>
      <c r="C11" s="44" t="s">
        <v>67</v>
      </c>
      <c r="D11" s="45">
        <v>180</v>
      </c>
      <c r="E11" s="117" t="s">
        <v>24</v>
      </c>
      <c r="F11" s="51">
        <v>48760</v>
      </c>
      <c r="G11" s="15">
        <f t="shared" ref="G11:G27" si="0">F11*D11</f>
        <v>8776800</v>
      </c>
      <c r="H11" s="192"/>
      <c r="I11" s="201"/>
      <c r="J11" s="222"/>
      <c r="K11" s="250"/>
      <c r="L11" s="204"/>
      <c r="M11" s="182"/>
    </row>
    <row r="12" spans="2:13" x14ac:dyDescent="0.3">
      <c r="B12" s="10">
        <v>3</v>
      </c>
      <c r="C12" s="44" t="s">
        <v>143</v>
      </c>
      <c r="D12" s="45">
        <v>6</v>
      </c>
      <c r="E12" s="117" t="s">
        <v>70</v>
      </c>
      <c r="F12" s="51">
        <v>71000</v>
      </c>
      <c r="G12" s="15">
        <f t="shared" si="0"/>
        <v>426000</v>
      </c>
      <c r="H12" s="192"/>
      <c r="I12" s="201"/>
      <c r="J12" s="222"/>
      <c r="K12" s="250"/>
      <c r="L12" s="204"/>
      <c r="M12" s="182"/>
    </row>
    <row r="13" spans="2:13" x14ac:dyDescent="0.3">
      <c r="B13" s="10">
        <v>4</v>
      </c>
      <c r="C13" s="44" t="s">
        <v>121</v>
      </c>
      <c r="D13" s="45">
        <v>12</v>
      </c>
      <c r="E13" s="117" t="s">
        <v>151</v>
      </c>
      <c r="F13" s="51">
        <v>11330</v>
      </c>
      <c r="G13" s="15">
        <f t="shared" si="0"/>
        <v>135960</v>
      </c>
      <c r="H13" s="192"/>
      <c r="I13" s="201"/>
      <c r="J13" s="222"/>
      <c r="K13" s="250"/>
      <c r="L13" s="204"/>
      <c r="M13" s="182"/>
    </row>
    <row r="14" spans="2:13" x14ac:dyDescent="0.3">
      <c r="B14" s="10">
        <v>5</v>
      </c>
      <c r="C14" s="110" t="s">
        <v>25</v>
      </c>
      <c r="D14" s="98">
        <v>5</v>
      </c>
      <c r="E14" s="91" t="s">
        <v>70</v>
      </c>
      <c r="F14" s="99">
        <v>50400</v>
      </c>
      <c r="G14" s="15">
        <f t="shared" si="0"/>
        <v>252000</v>
      </c>
      <c r="H14" s="192"/>
      <c r="I14" s="201"/>
      <c r="J14" s="222"/>
      <c r="K14" s="250"/>
      <c r="L14" s="204"/>
      <c r="M14" s="182"/>
    </row>
    <row r="15" spans="2:13" x14ac:dyDescent="0.3">
      <c r="B15" s="10">
        <v>6</v>
      </c>
      <c r="C15" s="110" t="s">
        <v>188</v>
      </c>
      <c r="D15" s="98">
        <v>3</v>
      </c>
      <c r="E15" s="91" t="s">
        <v>70</v>
      </c>
      <c r="F15" s="99">
        <v>42000</v>
      </c>
      <c r="G15" s="15">
        <f t="shared" si="0"/>
        <v>126000</v>
      </c>
      <c r="H15" s="192"/>
      <c r="I15" s="201"/>
      <c r="J15" s="222"/>
      <c r="K15" s="250"/>
      <c r="L15" s="204"/>
      <c r="M15" s="182"/>
    </row>
    <row r="16" spans="2:13" x14ac:dyDescent="0.3">
      <c r="B16" s="10">
        <v>7</v>
      </c>
      <c r="C16" s="44" t="s">
        <v>139</v>
      </c>
      <c r="D16" s="45">
        <v>47</v>
      </c>
      <c r="E16" s="117" t="s">
        <v>62</v>
      </c>
      <c r="F16" s="51">
        <v>24500</v>
      </c>
      <c r="G16" s="15">
        <f t="shared" si="0"/>
        <v>1151500</v>
      </c>
      <c r="H16" s="192"/>
      <c r="I16" s="201"/>
      <c r="J16" s="222"/>
      <c r="K16" s="250"/>
      <c r="L16" s="204"/>
      <c r="M16" s="182"/>
    </row>
    <row r="17" spans="2:13" x14ac:dyDescent="0.3">
      <c r="B17" s="10">
        <v>8</v>
      </c>
      <c r="C17" s="44" t="s">
        <v>156</v>
      </c>
      <c r="D17" s="45">
        <v>3</v>
      </c>
      <c r="E17" s="117" t="s">
        <v>75</v>
      </c>
      <c r="F17" s="51">
        <v>6000</v>
      </c>
      <c r="G17" s="15">
        <f t="shared" si="0"/>
        <v>18000</v>
      </c>
      <c r="H17" s="192"/>
      <c r="I17" s="201"/>
      <c r="J17" s="222"/>
      <c r="K17" s="250"/>
      <c r="L17" s="204"/>
      <c r="M17" s="182"/>
    </row>
    <row r="18" spans="2:13" x14ac:dyDescent="0.3">
      <c r="B18" s="10">
        <v>9</v>
      </c>
      <c r="C18" s="44" t="s">
        <v>45</v>
      </c>
      <c r="D18" s="45">
        <v>14</v>
      </c>
      <c r="E18" s="117" t="s">
        <v>71</v>
      </c>
      <c r="F18" s="51">
        <v>52500</v>
      </c>
      <c r="G18" s="15">
        <f t="shared" si="0"/>
        <v>735000</v>
      </c>
      <c r="H18" s="192"/>
      <c r="I18" s="201"/>
      <c r="J18" s="222"/>
      <c r="K18" s="250"/>
      <c r="L18" s="204"/>
      <c r="M18" s="182"/>
    </row>
    <row r="19" spans="2:13" x14ac:dyDescent="0.3">
      <c r="B19" s="10">
        <v>10</v>
      </c>
      <c r="C19" s="44" t="s">
        <v>138</v>
      </c>
      <c r="D19" s="45">
        <v>2</v>
      </c>
      <c r="E19" s="117" t="s">
        <v>157</v>
      </c>
      <c r="F19" s="51">
        <v>4200</v>
      </c>
      <c r="G19" s="15">
        <f t="shared" si="0"/>
        <v>8400</v>
      </c>
      <c r="H19" s="192"/>
      <c r="I19" s="201"/>
      <c r="J19" s="222"/>
      <c r="K19" s="250"/>
      <c r="L19" s="204"/>
      <c r="M19" s="182"/>
    </row>
    <row r="20" spans="2:13" x14ac:dyDescent="0.3">
      <c r="B20" s="10">
        <v>11</v>
      </c>
      <c r="C20" s="44" t="s">
        <v>176</v>
      </c>
      <c r="D20" s="45">
        <v>50</v>
      </c>
      <c r="E20" s="117" t="s">
        <v>137</v>
      </c>
      <c r="F20" s="51">
        <v>7500</v>
      </c>
      <c r="G20" s="15">
        <f t="shared" si="0"/>
        <v>375000</v>
      </c>
      <c r="H20" s="192"/>
      <c r="I20" s="201"/>
      <c r="J20" s="222"/>
      <c r="K20" s="250"/>
      <c r="L20" s="204"/>
      <c r="M20" s="182"/>
    </row>
    <row r="21" spans="2:13" x14ac:dyDescent="0.3">
      <c r="B21" s="10">
        <v>12</v>
      </c>
      <c r="C21" s="44" t="s">
        <v>38</v>
      </c>
      <c r="D21" s="45">
        <v>2</v>
      </c>
      <c r="E21" s="117" t="s">
        <v>70</v>
      </c>
      <c r="F21" s="51">
        <v>28000</v>
      </c>
      <c r="G21" s="15">
        <f t="shared" si="0"/>
        <v>56000</v>
      </c>
      <c r="H21" s="192"/>
      <c r="I21" s="201"/>
      <c r="J21" s="222"/>
      <c r="K21" s="250"/>
      <c r="L21" s="204"/>
      <c r="M21" s="182"/>
    </row>
    <row r="22" spans="2:13" x14ac:dyDescent="0.3">
      <c r="B22" s="10">
        <v>13</v>
      </c>
      <c r="C22" s="44" t="s">
        <v>120</v>
      </c>
      <c r="D22" s="45">
        <v>115</v>
      </c>
      <c r="E22" s="117" t="s">
        <v>24</v>
      </c>
      <c r="F22" s="51">
        <v>10200</v>
      </c>
      <c r="G22" s="15">
        <f t="shared" si="0"/>
        <v>1173000</v>
      </c>
      <c r="H22" s="192"/>
      <c r="I22" s="201"/>
      <c r="J22" s="222"/>
      <c r="K22" s="250"/>
      <c r="L22" s="204"/>
      <c r="M22" s="182"/>
    </row>
    <row r="23" spans="2:13" x14ac:dyDescent="0.3">
      <c r="B23" s="10">
        <v>14</v>
      </c>
      <c r="C23" s="44" t="s">
        <v>177</v>
      </c>
      <c r="D23" s="45">
        <v>0.7</v>
      </c>
      <c r="E23" s="117" t="s">
        <v>70</v>
      </c>
      <c r="F23" s="51">
        <v>60000</v>
      </c>
      <c r="G23" s="15">
        <f t="shared" si="0"/>
        <v>42000</v>
      </c>
      <c r="H23" s="192"/>
      <c r="I23" s="201"/>
      <c r="J23" s="222"/>
      <c r="K23" s="250"/>
      <c r="L23" s="204"/>
      <c r="M23" s="182"/>
    </row>
    <row r="24" spans="2:13" x14ac:dyDescent="0.3">
      <c r="B24" s="10">
        <v>15</v>
      </c>
      <c r="C24" s="44" t="s">
        <v>35</v>
      </c>
      <c r="D24" s="45">
        <v>1</v>
      </c>
      <c r="E24" s="117" t="s">
        <v>70</v>
      </c>
      <c r="F24" s="51">
        <v>14500</v>
      </c>
      <c r="G24" s="15">
        <f t="shared" si="0"/>
        <v>14500</v>
      </c>
      <c r="H24" s="192"/>
      <c r="I24" s="201"/>
      <c r="J24" s="222"/>
      <c r="K24" s="250"/>
      <c r="L24" s="204"/>
      <c r="M24" s="182"/>
    </row>
    <row r="25" spans="2:13" x14ac:dyDescent="0.3">
      <c r="B25" s="10">
        <v>16</v>
      </c>
      <c r="C25" s="44" t="s">
        <v>34</v>
      </c>
      <c r="D25" s="45">
        <v>2</v>
      </c>
      <c r="E25" s="117" t="s">
        <v>24</v>
      </c>
      <c r="F25" s="51">
        <v>13000</v>
      </c>
      <c r="G25" s="15">
        <f t="shared" si="0"/>
        <v>26000</v>
      </c>
      <c r="H25" s="192"/>
      <c r="I25" s="201"/>
      <c r="J25" s="222"/>
      <c r="K25" s="250"/>
      <c r="L25" s="204"/>
      <c r="M25" s="182"/>
    </row>
    <row r="26" spans="2:13" x14ac:dyDescent="0.3">
      <c r="B26" s="10">
        <v>17</v>
      </c>
      <c r="C26" s="44" t="s">
        <v>178</v>
      </c>
      <c r="D26" s="45">
        <v>0.5</v>
      </c>
      <c r="E26" s="117" t="s">
        <v>70</v>
      </c>
      <c r="F26" s="51">
        <v>63000</v>
      </c>
      <c r="G26" s="15">
        <f t="shared" si="0"/>
        <v>31500</v>
      </c>
      <c r="H26" s="192"/>
      <c r="I26" s="201"/>
      <c r="J26" s="222"/>
      <c r="K26" s="250"/>
      <c r="L26" s="204"/>
      <c r="M26" s="182"/>
    </row>
    <row r="27" spans="2:13" x14ac:dyDescent="0.3">
      <c r="B27" s="10">
        <v>18</v>
      </c>
      <c r="C27" s="44" t="s">
        <v>179</v>
      </c>
      <c r="D27" s="45">
        <v>115</v>
      </c>
      <c r="E27" s="117" t="s">
        <v>70</v>
      </c>
      <c r="F27" s="51">
        <v>18750</v>
      </c>
      <c r="G27" s="15">
        <f t="shared" si="0"/>
        <v>2156250</v>
      </c>
      <c r="H27" s="193"/>
      <c r="I27" s="202"/>
      <c r="J27" s="257"/>
      <c r="K27" s="258"/>
      <c r="L27" s="204"/>
      <c r="M27" s="182"/>
    </row>
    <row r="28" spans="2:13" s="101" customFormat="1" ht="25.2" x14ac:dyDescent="0.3">
      <c r="B28" s="10">
        <v>19</v>
      </c>
      <c r="C28" s="110" t="s">
        <v>156</v>
      </c>
      <c r="D28" s="98">
        <v>1</v>
      </c>
      <c r="E28" s="91" t="s">
        <v>180</v>
      </c>
      <c r="F28" s="99">
        <v>25000</v>
      </c>
      <c r="G28" s="94">
        <f>F28*D28</f>
        <v>25000</v>
      </c>
      <c r="H28" s="19" t="s">
        <v>145</v>
      </c>
      <c r="I28" s="19" t="s">
        <v>133</v>
      </c>
      <c r="J28" s="18" t="s">
        <v>146</v>
      </c>
      <c r="K28" s="121">
        <f>G28</f>
        <v>25000</v>
      </c>
      <c r="L28" s="204"/>
      <c r="M28" s="182"/>
    </row>
    <row r="29" spans="2:13" x14ac:dyDescent="0.3">
      <c r="B29" s="206" t="s">
        <v>50</v>
      </c>
      <c r="C29" s="207"/>
      <c r="D29" s="207"/>
      <c r="E29" s="207"/>
      <c r="F29" s="207"/>
      <c r="G29" s="207"/>
      <c r="H29" s="207"/>
      <c r="I29" s="207"/>
      <c r="J29" s="208"/>
      <c r="K29" s="21">
        <f>SUM(K10:K28)</f>
        <v>17828910</v>
      </c>
      <c r="L29" s="22"/>
      <c r="M29" s="23"/>
    </row>
    <row r="31" spans="2:13" ht="15" thickBot="1" x14ac:dyDescent="0.35"/>
    <row r="32" spans="2:13" ht="15" thickBot="1" x14ac:dyDescent="0.35">
      <c r="B32" s="209" t="s">
        <v>51</v>
      </c>
      <c r="C32" s="210"/>
      <c r="D32" s="210"/>
      <c r="E32" s="210"/>
      <c r="F32" s="210"/>
      <c r="G32" s="210"/>
      <c r="H32" s="210"/>
      <c r="I32" s="210"/>
      <c r="J32" s="210"/>
      <c r="K32" s="210"/>
      <c r="L32" s="210"/>
      <c r="M32" s="211"/>
    </row>
    <row r="33" spans="2:13" ht="15" thickBot="1" x14ac:dyDescent="0.35">
      <c r="B33" s="25" t="s">
        <v>52</v>
      </c>
      <c r="C33" s="26" t="s">
        <v>53</v>
      </c>
      <c r="D33" s="26" t="s">
        <v>8</v>
      </c>
      <c r="E33" s="26" t="s">
        <v>9</v>
      </c>
      <c r="F33" s="27" t="s">
        <v>10</v>
      </c>
      <c r="G33" s="27" t="s">
        <v>54</v>
      </c>
      <c r="H33" s="26" t="s">
        <v>12</v>
      </c>
      <c r="I33" s="26" t="s">
        <v>13</v>
      </c>
      <c r="J33" s="26" t="s">
        <v>14</v>
      </c>
      <c r="K33" s="26" t="s">
        <v>15</v>
      </c>
      <c r="L33" s="26" t="s">
        <v>55</v>
      </c>
      <c r="M33" s="28" t="s">
        <v>17</v>
      </c>
    </row>
    <row r="34" spans="2:13" x14ac:dyDescent="0.3">
      <c r="B34" s="10">
        <v>1</v>
      </c>
      <c r="C34" s="29" t="s">
        <v>56</v>
      </c>
      <c r="D34" s="30">
        <v>0</v>
      </c>
      <c r="E34" s="30" t="s">
        <v>57</v>
      </c>
      <c r="F34" s="31">
        <v>250000</v>
      </c>
      <c r="G34" s="31">
        <f>D34*F34</f>
        <v>0</v>
      </c>
      <c r="H34" s="194" t="s">
        <v>58</v>
      </c>
      <c r="I34" s="194" t="s">
        <v>21</v>
      </c>
      <c r="J34" s="194" t="s">
        <v>22</v>
      </c>
      <c r="K34" s="256">
        <f>SUM(G34:G37)</f>
        <v>31500</v>
      </c>
      <c r="L34" s="216"/>
      <c r="M34" s="219"/>
    </row>
    <row r="35" spans="2:13" x14ac:dyDescent="0.3">
      <c r="B35" s="10">
        <v>2</v>
      </c>
      <c r="C35" s="29" t="s">
        <v>80</v>
      </c>
      <c r="D35" s="30">
        <v>0</v>
      </c>
      <c r="E35" s="30" t="s">
        <v>57</v>
      </c>
      <c r="F35" s="31">
        <v>1500000</v>
      </c>
      <c r="G35" s="31">
        <f>D35*F35</f>
        <v>0</v>
      </c>
      <c r="H35" s="195"/>
      <c r="I35" s="195"/>
      <c r="J35" s="195"/>
      <c r="K35" s="201"/>
      <c r="L35" s="217"/>
      <c r="M35" s="220"/>
    </row>
    <row r="36" spans="2:13" x14ac:dyDescent="0.3">
      <c r="B36" s="10">
        <v>3</v>
      </c>
      <c r="C36" s="29" t="s">
        <v>61</v>
      </c>
      <c r="D36" s="30">
        <v>0</v>
      </c>
      <c r="E36" s="30" t="s">
        <v>57</v>
      </c>
      <c r="F36" s="31">
        <v>10000</v>
      </c>
      <c r="G36" s="31">
        <f>D36*F36</f>
        <v>0</v>
      </c>
      <c r="H36" s="195"/>
      <c r="I36" s="195"/>
      <c r="J36" s="195"/>
      <c r="K36" s="201"/>
      <c r="L36" s="217"/>
      <c r="M36" s="220"/>
    </row>
    <row r="37" spans="2:13" x14ac:dyDescent="0.3">
      <c r="B37" s="10">
        <v>4</v>
      </c>
      <c r="C37" s="29" t="s">
        <v>232</v>
      </c>
      <c r="D37" s="30">
        <v>3</v>
      </c>
      <c r="E37" s="30" t="s">
        <v>182</v>
      </c>
      <c r="F37" s="31">
        <v>10500</v>
      </c>
      <c r="G37" s="31">
        <f>D37*F37</f>
        <v>31500</v>
      </c>
      <c r="H37" s="196"/>
      <c r="I37" s="196"/>
      <c r="J37" s="196"/>
      <c r="K37" s="202"/>
      <c r="L37" s="217"/>
      <c r="M37" s="220"/>
    </row>
    <row r="38" spans="2:13" ht="16.5" customHeight="1" x14ac:dyDescent="0.3">
      <c r="B38" s="10">
        <v>5</v>
      </c>
      <c r="C38" s="29" t="s">
        <v>181</v>
      </c>
      <c r="D38" s="30">
        <v>5</v>
      </c>
      <c r="E38" s="30" t="s">
        <v>182</v>
      </c>
      <c r="F38" s="31">
        <v>12000</v>
      </c>
      <c r="G38" s="31">
        <f t="shared" ref="G38:G40" si="1">D38*F38</f>
        <v>60000</v>
      </c>
      <c r="H38" s="246" t="s">
        <v>183</v>
      </c>
      <c r="I38" s="245" t="s">
        <v>21</v>
      </c>
      <c r="J38" s="246" t="s">
        <v>124</v>
      </c>
      <c r="K38" s="259">
        <f>SUM(G38:G39)</f>
        <v>112000</v>
      </c>
      <c r="L38" s="217"/>
      <c r="M38" s="220"/>
    </row>
    <row r="39" spans="2:13" ht="16.5" customHeight="1" x14ac:dyDescent="0.3">
      <c r="B39" s="10">
        <v>6</v>
      </c>
      <c r="C39" s="29" t="s">
        <v>184</v>
      </c>
      <c r="D39" s="30">
        <v>4</v>
      </c>
      <c r="E39" s="30" t="s">
        <v>182</v>
      </c>
      <c r="F39" s="31">
        <v>13000</v>
      </c>
      <c r="G39" s="31">
        <f t="shared" si="1"/>
        <v>52000</v>
      </c>
      <c r="H39" s="196"/>
      <c r="I39" s="202"/>
      <c r="J39" s="196"/>
      <c r="K39" s="260"/>
      <c r="L39" s="217"/>
      <c r="M39" s="220"/>
    </row>
    <row r="40" spans="2:13" ht="25.2" x14ac:dyDescent="0.3">
      <c r="B40" s="10">
        <v>7</v>
      </c>
      <c r="C40" s="29" t="s">
        <v>181</v>
      </c>
      <c r="D40" s="30">
        <v>4</v>
      </c>
      <c r="E40" s="30" t="s">
        <v>182</v>
      </c>
      <c r="F40" s="31">
        <v>7000</v>
      </c>
      <c r="G40" s="31">
        <f t="shared" si="1"/>
        <v>28000</v>
      </c>
      <c r="H40" s="19" t="s">
        <v>145</v>
      </c>
      <c r="I40" s="74" t="s">
        <v>133</v>
      </c>
      <c r="J40" s="80" t="s">
        <v>146</v>
      </c>
      <c r="K40" s="124">
        <f>G40</f>
        <v>28000</v>
      </c>
      <c r="L40" s="217"/>
      <c r="M40" s="220"/>
    </row>
    <row r="41" spans="2:13" x14ac:dyDescent="0.3">
      <c r="B41" s="123"/>
      <c r="C41" s="29"/>
      <c r="D41" s="30"/>
      <c r="E41" s="30"/>
      <c r="F41" s="31"/>
      <c r="G41" s="31"/>
      <c r="H41" s="82"/>
      <c r="I41" s="125"/>
      <c r="J41" s="32"/>
      <c r="K41" s="122"/>
      <c r="L41" s="218"/>
      <c r="M41" s="244"/>
    </row>
    <row r="42" spans="2:13" x14ac:dyDescent="0.3">
      <c r="B42" s="206" t="s">
        <v>64</v>
      </c>
      <c r="C42" s="207"/>
      <c r="D42" s="207"/>
      <c r="E42" s="207"/>
      <c r="F42" s="207"/>
      <c r="G42" s="207"/>
      <c r="H42" s="207"/>
      <c r="I42" s="207"/>
      <c r="J42" s="207"/>
      <c r="K42" s="119">
        <f>SUM(K34:K40)</f>
        <v>171500</v>
      </c>
      <c r="L42" s="35"/>
      <c r="M42" s="36"/>
    </row>
  </sheetData>
  <mergeCells count="25">
    <mergeCell ref="K34:K37"/>
    <mergeCell ref="J38:J39"/>
    <mergeCell ref="K38:K39"/>
    <mergeCell ref="B42:J42"/>
    <mergeCell ref="B29:J29"/>
    <mergeCell ref="B32:M32"/>
    <mergeCell ref="L34:L41"/>
    <mergeCell ref="M34:M41"/>
    <mergeCell ref="H38:H39"/>
    <mergeCell ref="I38:I39"/>
    <mergeCell ref="H34:H37"/>
    <mergeCell ref="I34:I37"/>
    <mergeCell ref="J34:J37"/>
    <mergeCell ref="M10:M28"/>
    <mergeCell ref="B3:M3"/>
    <mergeCell ref="B4:M4"/>
    <mergeCell ref="B5:M5"/>
    <mergeCell ref="B6:M6"/>
    <mergeCell ref="B7:M7"/>
    <mergeCell ref="B8:M8"/>
    <mergeCell ref="H10:H27"/>
    <mergeCell ref="I10:I27"/>
    <mergeCell ref="J10:J27"/>
    <mergeCell ref="K10:K27"/>
    <mergeCell ref="L10:L2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5E92-1079-43AB-BB20-65982AF561B2}">
  <dimension ref="B3:M33"/>
  <sheetViews>
    <sheetView zoomScale="90" zoomScaleNormal="90" workbookViewId="0">
      <selection activeCell="D12" sqref="D12"/>
    </sheetView>
  </sheetViews>
  <sheetFormatPr defaultRowHeight="14.4" x14ac:dyDescent="0.3"/>
  <cols>
    <col min="1" max="1" width="12.5546875" customWidth="1"/>
    <col min="2" max="2" width="5.6640625" customWidth="1"/>
    <col min="3" max="3" width="37.109375" customWidth="1"/>
    <col min="4" max="4" width="14.5546875" customWidth="1"/>
    <col min="5" max="5" width="11.109375" customWidth="1"/>
    <col min="6" max="6" width="18.88671875" customWidth="1"/>
    <col min="7" max="7" width="18.5546875" customWidth="1"/>
    <col min="8" max="8" width="17" customWidth="1"/>
    <col min="9" max="9" width="13.109375" customWidth="1"/>
    <col min="10" max="10" width="24.5546875" customWidth="1"/>
    <col min="11" max="11" width="19.88671875" customWidth="1"/>
  </cols>
  <sheetData>
    <row r="3" spans="2:13" ht="18" x14ac:dyDescent="0.35">
      <c r="B3" s="184" t="s">
        <v>0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</row>
    <row r="4" spans="2:13" ht="15.6" x14ac:dyDescent="0.3">
      <c r="B4" s="185" t="s">
        <v>1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</row>
    <row r="5" spans="2:13" ht="15.6" x14ac:dyDescent="0.3">
      <c r="B5" s="185" t="s">
        <v>2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</row>
    <row r="6" spans="2:13" x14ac:dyDescent="0.3">
      <c r="B6" s="186" t="s">
        <v>240</v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</row>
    <row r="7" spans="2:13" ht="15" thickBot="1" x14ac:dyDescent="0.35">
      <c r="B7" s="187" t="s">
        <v>185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</row>
    <row r="8" spans="2:13" ht="15" thickBot="1" x14ac:dyDescent="0.35">
      <c r="B8" s="188" t="s">
        <v>5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90"/>
    </row>
    <row r="9" spans="2:13" ht="15" thickBot="1" x14ac:dyDescent="0.35">
      <c r="B9" s="25" t="s">
        <v>6</v>
      </c>
      <c r="C9" s="26" t="s">
        <v>7</v>
      </c>
      <c r="D9" s="26" t="s">
        <v>8</v>
      </c>
      <c r="E9" s="26" t="s">
        <v>9</v>
      </c>
      <c r="F9" s="26" t="s">
        <v>10</v>
      </c>
      <c r="G9" s="26" t="s">
        <v>11</v>
      </c>
      <c r="H9" s="2" t="s">
        <v>12</v>
      </c>
      <c r="I9" s="2" t="s">
        <v>13</v>
      </c>
      <c r="J9" s="2" t="s">
        <v>14</v>
      </c>
      <c r="K9" s="2" t="s">
        <v>15</v>
      </c>
      <c r="L9" s="2" t="s">
        <v>16</v>
      </c>
      <c r="M9" s="3" t="s">
        <v>17</v>
      </c>
    </row>
    <row r="10" spans="2:13" s="101" customFormat="1" ht="15" customHeight="1" x14ac:dyDescent="0.3">
      <c r="B10" s="38">
        <v>1</v>
      </c>
      <c r="C10" s="126" t="s">
        <v>18</v>
      </c>
      <c r="D10" s="127">
        <v>14</v>
      </c>
      <c r="E10" s="128" t="s">
        <v>19</v>
      </c>
      <c r="F10" s="283">
        <v>175000</v>
      </c>
      <c r="G10" s="129">
        <f>F10*D10</f>
        <v>2450000</v>
      </c>
      <c r="H10" s="191" t="s">
        <v>58</v>
      </c>
      <c r="I10" s="212" t="s">
        <v>59</v>
      </c>
      <c r="J10" s="197" t="s">
        <v>186</v>
      </c>
      <c r="K10" s="200">
        <f>SUM(G10:G23)</f>
        <v>17619700</v>
      </c>
      <c r="L10" s="203"/>
      <c r="M10" s="181"/>
    </row>
    <row r="11" spans="2:13" s="101" customFormat="1" x14ac:dyDescent="0.3">
      <c r="B11" s="10">
        <v>2</v>
      </c>
      <c r="C11" s="110" t="s">
        <v>187</v>
      </c>
      <c r="D11" s="98">
        <v>175</v>
      </c>
      <c r="E11" s="92" t="s">
        <v>70</v>
      </c>
      <c r="F11" s="99">
        <v>40600</v>
      </c>
      <c r="G11" s="94">
        <f t="shared" ref="G11:G23" si="0">F11*D11</f>
        <v>7105000</v>
      </c>
      <c r="H11" s="192"/>
      <c r="I11" s="201"/>
      <c r="J11" s="198"/>
      <c r="K11" s="250"/>
      <c r="L11" s="204"/>
      <c r="M11" s="182"/>
    </row>
    <row r="12" spans="2:13" s="101" customFormat="1" x14ac:dyDescent="0.3">
      <c r="B12" s="10">
        <v>3</v>
      </c>
      <c r="C12" s="110" t="s">
        <v>143</v>
      </c>
      <c r="D12" s="98">
        <v>7</v>
      </c>
      <c r="E12" s="92" t="s">
        <v>70</v>
      </c>
      <c r="F12" s="99">
        <v>71500</v>
      </c>
      <c r="G12" s="94">
        <f t="shared" si="0"/>
        <v>500500</v>
      </c>
      <c r="H12" s="192"/>
      <c r="I12" s="201"/>
      <c r="J12" s="198"/>
      <c r="K12" s="250"/>
      <c r="L12" s="204"/>
      <c r="M12" s="182"/>
    </row>
    <row r="13" spans="2:13" s="101" customFormat="1" x14ac:dyDescent="0.3">
      <c r="B13" s="10">
        <v>4</v>
      </c>
      <c r="C13" s="110" t="s">
        <v>155</v>
      </c>
      <c r="D13" s="98">
        <v>5</v>
      </c>
      <c r="E13" s="92" t="s">
        <v>70</v>
      </c>
      <c r="F13" s="99">
        <v>79800</v>
      </c>
      <c r="G13" s="94">
        <f t="shared" si="0"/>
        <v>399000</v>
      </c>
      <c r="H13" s="192"/>
      <c r="I13" s="201"/>
      <c r="J13" s="198"/>
      <c r="K13" s="250"/>
      <c r="L13" s="204"/>
      <c r="M13" s="182"/>
    </row>
    <row r="14" spans="2:13" s="101" customFormat="1" x14ac:dyDescent="0.3">
      <c r="B14" s="10">
        <v>5</v>
      </c>
      <c r="C14" s="110" t="s">
        <v>25</v>
      </c>
      <c r="D14" s="98">
        <v>9</v>
      </c>
      <c r="E14" s="92" t="s">
        <v>70</v>
      </c>
      <c r="F14" s="99">
        <v>50400</v>
      </c>
      <c r="G14" s="94">
        <f>F14*D14</f>
        <v>453600</v>
      </c>
      <c r="H14" s="192"/>
      <c r="I14" s="201"/>
      <c r="J14" s="198"/>
      <c r="K14" s="250"/>
      <c r="L14" s="204"/>
      <c r="M14" s="182"/>
    </row>
    <row r="15" spans="2:13" s="101" customFormat="1" x14ac:dyDescent="0.3">
      <c r="B15" s="10">
        <v>6</v>
      </c>
      <c r="C15" s="110" t="s">
        <v>188</v>
      </c>
      <c r="D15" s="98">
        <v>4</v>
      </c>
      <c r="E15" s="92" t="s">
        <v>70</v>
      </c>
      <c r="F15" s="99">
        <v>42000</v>
      </c>
      <c r="G15" s="94">
        <f t="shared" si="0"/>
        <v>168000</v>
      </c>
      <c r="H15" s="192"/>
      <c r="I15" s="201"/>
      <c r="J15" s="198"/>
      <c r="K15" s="250"/>
      <c r="L15" s="204"/>
      <c r="M15" s="182"/>
    </row>
    <row r="16" spans="2:13" s="101" customFormat="1" x14ac:dyDescent="0.3">
      <c r="B16" s="10">
        <v>7</v>
      </c>
      <c r="C16" s="110" t="s">
        <v>30</v>
      </c>
      <c r="D16" s="98">
        <v>55</v>
      </c>
      <c r="E16" s="92" t="s">
        <v>140</v>
      </c>
      <c r="F16" s="51">
        <v>24500</v>
      </c>
      <c r="G16" s="94">
        <f t="shared" si="0"/>
        <v>1347500</v>
      </c>
      <c r="H16" s="192"/>
      <c r="I16" s="201"/>
      <c r="J16" s="198"/>
      <c r="K16" s="250"/>
      <c r="L16" s="204"/>
      <c r="M16" s="182"/>
    </row>
    <row r="17" spans="2:13" s="101" customFormat="1" x14ac:dyDescent="0.3">
      <c r="B17" s="10">
        <v>8</v>
      </c>
      <c r="C17" s="110" t="s">
        <v>43</v>
      </c>
      <c r="D17" s="98">
        <v>240</v>
      </c>
      <c r="E17" s="92" t="s">
        <v>71</v>
      </c>
      <c r="F17" s="99">
        <v>2750</v>
      </c>
      <c r="G17" s="94">
        <f t="shared" si="0"/>
        <v>660000</v>
      </c>
      <c r="H17" s="192"/>
      <c r="I17" s="201"/>
      <c r="J17" s="198"/>
      <c r="K17" s="250"/>
      <c r="L17" s="204"/>
      <c r="M17" s="182"/>
    </row>
    <row r="18" spans="2:13" s="101" customFormat="1" x14ac:dyDescent="0.3">
      <c r="B18" s="10">
        <v>9</v>
      </c>
      <c r="C18" s="110" t="s">
        <v>47</v>
      </c>
      <c r="D18" s="98">
        <v>28</v>
      </c>
      <c r="E18" s="92" t="s">
        <v>70</v>
      </c>
      <c r="F18" s="99">
        <v>12000</v>
      </c>
      <c r="G18" s="94">
        <f t="shared" si="0"/>
        <v>336000</v>
      </c>
      <c r="H18" s="192"/>
      <c r="I18" s="201"/>
      <c r="J18" s="198"/>
      <c r="K18" s="250"/>
      <c r="L18" s="204"/>
      <c r="M18" s="182"/>
    </row>
    <row r="19" spans="2:13" s="101" customFormat="1" x14ac:dyDescent="0.3">
      <c r="B19" s="10">
        <v>10</v>
      </c>
      <c r="C19" s="110" t="s">
        <v>142</v>
      </c>
      <c r="D19" s="98">
        <v>145</v>
      </c>
      <c r="E19" s="92" t="s">
        <v>70</v>
      </c>
      <c r="F19" s="99">
        <v>13000</v>
      </c>
      <c r="G19" s="94">
        <f t="shared" si="0"/>
        <v>1885000</v>
      </c>
      <c r="H19" s="192"/>
      <c r="I19" s="201"/>
      <c r="J19" s="198"/>
      <c r="K19" s="250"/>
      <c r="L19" s="204"/>
      <c r="M19" s="182"/>
    </row>
    <row r="20" spans="2:13" s="101" customFormat="1" x14ac:dyDescent="0.3">
      <c r="B20" s="10">
        <v>11</v>
      </c>
      <c r="C20" s="110" t="s">
        <v>161</v>
      </c>
      <c r="D20" s="98">
        <v>95</v>
      </c>
      <c r="E20" s="92" t="s">
        <v>24</v>
      </c>
      <c r="F20" s="99">
        <v>16300</v>
      </c>
      <c r="G20" s="94">
        <f t="shared" si="0"/>
        <v>1548500</v>
      </c>
      <c r="H20" s="192"/>
      <c r="I20" s="201"/>
      <c r="J20" s="198"/>
      <c r="K20" s="250"/>
      <c r="L20" s="204"/>
      <c r="M20" s="182"/>
    </row>
    <row r="21" spans="2:13" s="101" customFormat="1" x14ac:dyDescent="0.3">
      <c r="B21" s="10">
        <v>12</v>
      </c>
      <c r="C21" s="110" t="s">
        <v>189</v>
      </c>
      <c r="D21" s="98">
        <v>11</v>
      </c>
      <c r="E21" s="92" t="s">
        <v>71</v>
      </c>
      <c r="F21" s="99">
        <v>65000</v>
      </c>
      <c r="G21" s="94">
        <f t="shared" si="0"/>
        <v>715000</v>
      </c>
      <c r="H21" s="95" t="s">
        <v>190</v>
      </c>
      <c r="I21" s="74"/>
      <c r="J21" s="130"/>
      <c r="K21" s="100">
        <f>G21</f>
        <v>715000</v>
      </c>
      <c r="L21" s="204"/>
      <c r="M21" s="182"/>
    </row>
    <row r="22" spans="2:13" s="101" customFormat="1" ht="25.2" x14ac:dyDescent="0.3">
      <c r="B22" s="10">
        <v>13</v>
      </c>
      <c r="C22" s="131" t="s">
        <v>191</v>
      </c>
      <c r="D22" s="132">
        <v>6</v>
      </c>
      <c r="E22" s="133" t="s">
        <v>75</v>
      </c>
      <c r="F22" s="134">
        <v>8600</v>
      </c>
      <c r="G22" s="94">
        <f t="shared" si="0"/>
        <v>51600</v>
      </c>
      <c r="H22" s="95" t="s">
        <v>152</v>
      </c>
      <c r="I22" s="74" t="s">
        <v>133</v>
      </c>
      <c r="J22" s="80" t="s">
        <v>146</v>
      </c>
      <c r="K22" s="100">
        <f>G22</f>
        <v>51600</v>
      </c>
      <c r="L22" s="204"/>
      <c r="M22" s="182"/>
    </row>
    <row r="23" spans="2:13" x14ac:dyDescent="0.3">
      <c r="B23" s="10"/>
      <c r="C23" s="11"/>
      <c r="D23" s="12"/>
      <c r="E23" s="13"/>
      <c r="F23" s="14"/>
      <c r="G23" s="15">
        <f t="shared" si="0"/>
        <v>0</v>
      </c>
      <c r="H23" s="135"/>
      <c r="I23" s="83"/>
      <c r="J23" s="136"/>
      <c r="K23" s="83"/>
      <c r="L23" s="205"/>
      <c r="M23" s="183"/>
    </row>
    <row r="24" spans="2:13" x14ac:dyDescent="0.3">
      <c r="B24" s="206" t="s">
        <v>50</v>
      </c>
      <c r="C24" s="207"/>
      <c r="D24" s="207"/>
      <c r="E24" s="207"/>
      <c r="F24" s="207"/>
      <c r="G24" s="207"/>
      <c r="H24" s="207"/>
      <c r="I24" s="207"/>
      <c r="J24" s="208"/>
      <c r="K24" s="21">
        <f>SUM(K10:K23)</f>
        <v>18386300</v>
      </c>
      <c r="L24" s="22"/>
      <c r="M24" s="23"/>
    </row>
    <row r="26" spans="2:13" ht="15" thickBot="1" x14ac:dyDescent="0.35"/>
    <row r="27" spans="2:13" ht="15" thickBot="1" x14ac:dyDescent="0.35">
      <c r="B27" s="209" t="s">
        <v>51</v>
      </c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211"/>
    </row>
    <row r="28" spans="2:13" ht="15" thickBot="1" x14ac:dyDescent="0.35">
      <c r="B28" s="25" t="s">
        <v>52</v>
      </c>
      <c r="C28" s="26" t="s">
        <v>53</v>
      </c>
      <c r="D28" s="26" t="s">
        <v>8</v>
      </c>
      <c r="E28" s="26" t="s">
        <v>9</v>
      </c>
      <c r="F28" s="27" t="s">
        <v>10</v>
      </c>
      <c r="G28" s="27" t="s">
        <v>54</v>
      </c>
      <c r="H28" s="26" t="s">
        <v>12</v>
      </c>
      <c r="I28" s="26" t="s">
        <v>13</v>
      </c>
      <c r="J28" s="26" t="s">
        <v>14</v>
      </c>
      <c r="K28" s="26" t="s">
        <v>15</v>
      </c>
      <c r="L28" s="26" t="s">
        <v>55</v>
      </c>
      <c r="M28" s="28" t="s">
        <v>17</v>
      </c>
    </row>
    <row r="29" spans="2:13" x14ac:dyDescent="0.3">
      <c r="B29" s="10">
        <v>1</v>
      </c>
      <c r="C29" s="29" t="s">
        <v>56</v>
      </c>
      <c r="D29" s="30">
        <v>0</v>
      </c>
      <c r="E29" s="30" t="s">
        <v>57</v>
      </c>
      <c r="F29" s="31">
        <v>250000</v>
      </c>
      <c r="G29" s="31">
        <f>D29*F29</f>
        <v>0</v>
      </c>
      <c r="H29" s="261"/>
      <c r="I29" s="202" t="s">
        <v>21</v>
      </c>
      <c r="J29" s="264" t="s">
        <v>186</v>
      </c>
      <c r="K29" s="256">
        <f>SUM(G29:G31)</f>
        <v>25750</v>
      </c>
      <c r="L29" s="216"/>
      <c r="M29" s="219"/>
    </row>
    <row r="30" spans="2:13" x14ac:dyDescent="0.3">
      <c r="B30" s="10">
        <v>2</v>
      </c>
      <c r="C30" s="29" t="s">
        <v>80</v>
      </c>
      <c r="D30" s="30">
        <v>0</v>
      </c>
      <c r="E30" s="30" t="s">
        <v>57</v>
      </c>
      <c r="F30" s="31">
        <v>1500000</v>
      </c>
      <c r="G30" s="31">
        <f>D30*F30</f>
        <v>0</v>
      </c>
      <c r="H30" s="262"/>
      <c r="I30" s="247"/>
      <c r="J30" s="265"/>
      <c r="K30" s="201"/>
      <c r="L30" s="217"/>
      <c r="M30" s="220"/>
    </row>
    <row r="31" spans="2:13" x14ac:dyDescent="0.3">
      <c r="B31" s="10">
        <v>3</v>
      </c>
      <c r="C31" s="44" t="s">
        <v>192</v>
      </c>
      <c r="D31" s="137">
        <v>1</v>
      </c>
      <c r="E31" s="117" t="s">
        <v>151</v>
      </c>
      <c r="F31" s="47">
        <v>25750</v>
      </c>
      <c r="G31" s="31">
        <f t="shared" ref="G31" si="1">D31*F31</f>
        <v>25750</v>
      </c>
      <c r="H31" s="263"/>
      <c r="I31" s="247"/>
      <c r="J31" s="266"/>
      <c r="K31" s="202"/>
      <c r="L31" s="217"/>
      <c r="M31" s="220"/>
    </row>
    <row r="32" spans="2:13" ht="25.2" x14ac:dyDescent="0.3">
      <c r="B32" s="10">
        <v>4</v>
      </c>
      <c r="C32" s="29" t="s">
        <v>193</v>
      </c>
      <c r="D32" s="30">
        <v>25</v>
      </c>
      <c r="E32" s="30" t="s">
        <v>62</v>
      </c>
      <c r="F32" s="31">
        <v>10000</v>
      </c>
      <c r="G32" s="31">
        <f>D32*F32</f>
        <v>250000</v>
      </c>
      <c r="H32" s="138" t="s">
        <v>194</v>
      </c>
      <c r="I32" s="17" t="s">
        <v>133</v>
      </c>
      <c r="J32" s="16" t="s">
        <v>146</v>
      </c>
      <c r="K32" s="169">
        <f>G32</f>
        <v>250000</v>
      </c>
      <c r="L32" s="218"/>
      <c r="M32" s="244"/>
    </row>
    <row r="33" spans="2:13" x14ac:dyDescent="0.3">
      <c r="B33" s="206" t="s">
        <v>64</v>
      </c>
      <c r="C33" s="207"/>
      <c r="D33" s="207"/>
      <c r="E33" s="207"/>
      <c r="F33" s="207"/>
      <c r="G33" s="207"/>
      <c r="H33" s="207"/>
      <c r="I33" s="207"/>
      <c r="J33" s="207"/>
      <c r="K33" s="119">
        <f>SUM(K29:K32)</f>
        <v>275750</v>
      </c>
      <c r="L33" s="35"/>
      <c r="M33" s="36"/>
    </row>
  </sheetData>
  <mergeCells count="21">
    <mergeCell ref="B33:J33"/>
    <mergeCell ref="B24:J24"/>
    <mergeCell ref="B27:M27"/>
    <mergeCell ref="H29:H31"/>
    <mergeCell ref="I29:I31"/>
    <mergeCell ref="J29:J31"/>
    <mergeCell ref="K29:K31"/>
    <mergeCell ref="L29:L32"/>
    <mergeCell ref="M29:M32"/>
    <mergeCell ref="M10:M23"/>
    <mergeCell ref="B3:M3"/>
    <mergeCell ref="B4:M4"/>
    <mergeCell ref="B5:M5"/>
    <mergeCell ref="B6:M6"/>
    <mergeCell ref="B7:M7"/>
    <mergeCell ref="B8:M8"/>
    <mergeCell ref="H10:H20"/>
    <mergeCell ref="I10:I20"/>
    <mergeCell ref="J10:J20"/>
    <mergeCell ref="K10:K20"/>
    <mergeCell ref="L10:L2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7C76-A3DB-4121-BEA1-6C3B8850DEA7}">
  <dimension ref="B3:N37"/>
  <sheetViews>
    <sheetView topLeftCell="B1" workbookViewId="0">
      <selection activeCell="E22" sqref="E22"/>
    </sheetView>
  </sheetViews>
  <sheetFormatPr defaultRowHeight="14.4" x14ac:dyDescent="0.3"/>
  <cols>
    <col min="1" max="1" width="12.5546875" customWidth="1"/>
    <col min="2" max="2" width="5.6640625" customWidth="1"/>
    <col min="3" max="3" width="37.109375" customWidth="1"/>
    <col min="4" max="4" width="14.5546875" customWidth="1"/>
    <col min="5" max="5" width="11.109375" customWidth="1"/>
    <col min="6" max="6" width="18.88671875" customWidth="1"/>
    <col min="7" max="7" width="18.5546875" customWidth="1"/>
    <col min="8" max="8" width="17" customWidth="1"/>
    <col min="9" max="9" width="27.5546875" customWidth="1"/>
    <col min="10" max="10" width="17.88671875" customWidth="1"/>
    <col min="11" max="11" width="20.5546875" customWidth="1"/>
  </cols>
  <sheetData>
    <row r="3" spans="2:13" ht="18" x14ac:dyDescent="0.35">
      <c r="B3" s="184" t="s">
        <v>0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</row>
    <row r="4" spans="2:13" ht="15.6" x14ac:dyDescent="0.3">
      <c r="B4" s="185" t="s">
        <v>1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</row>
    <row r="5" spans="2:13" ht="15.6" x14ac:dyDescent="0.3">
      <c r="B5" s="185" t="s">
        <v>2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</row>
    <row r="6" spans="2:13" x14ac:dyDescent="0.3">
      <c r="B6" s="186" t="s">
        <v>195</v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</row>
    <row r="7" spans="2:13" ht="15" thickBot="1" x14ac:dyDescent="0.35">
      <c r="B7" s="187" t="s">
        <v>66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</row>
    <row r="8" spans="2:13" ht="15" thickBot="1" x14ac:dyDescent="0.35">
      <c r="B8" s="188" t="s">
        <v>5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90"/>
    </row>
    <row r="9" spans="2:13" ht="15" thickBot="1" x14ac:dyDescent="0.35">
      <c r="B9" s="25" t="s">
        <v>6</v>
      </c>
      <c r="C9" s="26" t="s">
        <v>7</v>
      </c>
      <c r="D9" s="26" t="s">
        <v>8</v>
      </c>
      <c r="E9" s="26" t="s">
        <v>9</v>
      </c>
      <c r="F9" s="26" t="s">
        <v>10</v>
      </c>
      <c r="G9" s="26" t="s">
        <v>11</v>
      </c>
      <c r="H9" s="26" t="s">
        <v>12</v>
      </c>
      <c r="I9" s="26" t="s">
        <v>13</v>
      </c>
      <c r="J9" s="26" t="s">
        <v>14</v>
      </c>
      <c r="K9" s="2" t="s">
        <v>15</v>
      </c>
      <c r="L9" s="2" t="s">
        <v>16</v>
      </c>
      <c r="M9" s="3" t="s">
        <v>17</v>
      </c>
    </row>
    <row r="10" spans="2:13" ht="14.4" customHeight="1" x14ac:dyDescent="0.3">
      <c r="B10" s="38">
        <v>1</v>
      </c>
      <c r="C10" s="126" t="s">
        <v>18</v>
      </c>
      <c r="D10" s="127">
        <v>14</v>
      </c>
      <c r="E10" s="128" t="s">
        <v>19</v>
      </c>
      <c r="F10" s="283">
        <v>160000</v>
      </c>
      <c r="G10" s="43">
        <f>F10*D10</f>
        <v>2240000</v>
      </c>
      <c r="H10" s="191" t="s">
        <v>58</v>
      </c>
      <c r="I10" s="201" t="s">
        <v>59</v>
      </c>
      <c r="J10" s="222" t="s">
        <v>22</v>
      </c>
      <c r="K10" s="200">
        <f>SUM(G10:G26)</f>
        <v>18642090</v>
      </c>
      <c r="L10" s="203"/>
      <c r="M10" s="181"/>
    </row>
    <row r="11" spans="2:13" x14ac:dyDescent="0.3">
      <c r="B11" s="10">
        <v>2</v>
      </c>
      <c r="C11" s="110" t="s">
        <v>67</v>
      </c>
      <c r="D11" s="98">
        <v>174</v>
      </c>
      <c r="E11" s="92" t="s">
        <v>70</v>
      </c>
      <c r="F11" s="51">
        <v>48760</v>
      </c>
      <c r="G11" s="15">
        <f t="shared" ref="G11:G25" si="0">F11*D11</f>
        <v>8484240</v>
      </c>
      <c r="H11" s="192"/>
      <c r="I11" s="201"/>
      <c r="J11" s="222"/>
      <c r="K11" s="201"/>
      <c r="L11" s="204"/>
      <c r="M11" s="182"/>
    </row>
    <row r="12" spans="2:13" x14ac:dyDescent="0.3">
      <c r="B12" s="10">
        <v>3</v>
      </c>
      <c r="C12" s="110" t="s">
        <v>143</v>
      </c>
      <c r="D12" s="98">
        <v>7</v>
      </c>
      <c r="E12" s="92" t="s">
        <v>70</v>
      </c>
      <c r="F12" s="99">
        <v>68250</v>
      </c>
      <c r="G12" s="15">
        <f t="shared" si="0"/>
        <v>477750</v>
      </c>
      <c r="H12" s="192"/>
      <c r="I12" s="201"/>
      <c r="J12" s="222"/>
      <c r="K12" s="201"/>
      <c r="L12" s="204"/>
      <c r="M12" s="182"/>
    </row>
    <row r="13" spans="2:13" x14ac:dyDescent="0.3">
      <c r="B13" s="10">
        <v>4</v>
      </c>
      <c r="C13" s="110" t="s">
        <v>155</v>
      </c>
      <c r="D13" s="98">
        <v>5</v>
      </c>
      <c r="E13" s="92" t="s">
        <v>70</v>
      </c>
      <c r="F13" s="99">
        <v>79800</v>
      </c>
      <c r="G13" s="15">
        <f t="shared" si="0"/>
        <v>399000</v>
      </c>
      <c r="H13" s="192"/>
      <c r="I13" s="201"/>
      <c r="J13" s="222"/>
      <c r="K13" s="201"/>
      <c r="L13" s="204"/>
      <c r="M13" s="182"/>
    </row>
    <row r="14" spans="2:13" x14ac:dyDescent="0.3">
      <c r="B14" s="10">
        <v>5</v>
      </c>
      <c r="C14" s="110" t="s">
        <v>25</v>
      </c>
      <c r="D14" s="98">
        <v>9</v>
      </c>
      <c r="E14" s="92" t="s">
        <v>70</v>
      </c>
      <c r="F14" s="99">
        <v>50400</v>
      </c>
      <c r="G14" s="15">
        <f>F14*D14</f>
        <v>453600</v>
      </c>
      <c r="H14" s="192"/>
      <c r="I14" s="201"/>
      <c r="J14" s="222"/>
      <c r="K14" s="201"/>
      <c r="L14" s="204"/>
      <c r="M14" s="182"/>
    </row>
    <row r="15" spans="2:13" x14ac:dyDescent="0.3">
      <c r="B15" s="10">
        <v>6</v>
      </c>
      <c r="C15" s="110" t="s">
        <v>188</v>
      </c>
      <c r="D15" s="98">
        <v>5</v>
      </c>
      <c r="E15" s="92" t="s">
        <v>70</v>
      </c>
      <c r="F15" s="99">
        <v>42000</v>
      </c>
      <c r="G15" s="15">
        <f t="shared" si="0"/>
        <v>210000</v>
      </c>
      <c r="H15" s="192"/>
      <c r="I15" s="201"/>
      <c r="J15" s="222"/>
      <c r="K15" s="201"/>
      <c r="L15" s="204"/>
      <c r="M15" s="182"/>
    </row>
    <row r="16" spans="2:13" x14ac:dyDescent="0.3">
      <c r="B16" s="10">
        <v>7</v>
      </c>
      <c r="C16" s="110" t="s">
        <v>176</v>
      </c>
      <c r="D16" s="98">
        <v>65</v>
      </c>
      <c r="E16" s="92" t="s">
        <v>137</v>
      </c>
      <c r="F16" s="51">
        <v>7500</v>
      </c>
      <c r="G16" s="15">
        <f t="shared" si="0"/>
        <v>487500</v>
      </c>
      <c r="H16" s="192"/>
      <c r="I16" s="201"/>
      <c r="J16" s="222"/>
      <c r="K16" s="201"/>
      <c r="L16" s="204"/>
      <c r="M16" s="182"/>
    </row>
    <row r="17" spans="2:13" x14ac:dyDescent="0.3">
      <c r="B17" s="10">
        <v>8</v>
      </c>
      <c r="C17" s="110" t="s">
        <v>30</v>
      </c>
      <c r="D17" s="98">
        <v>55</v>
      </c>
      <c r="E17" s="92" t="s">
        <v>140</v>
      </c>
      <c r="F17" s="99">
        <v>24500</v>
      </c>
      <c r="G17" s="15">
        <f t="shared" si="0"/>
        <v>1347500</v>
      </c>
      <c r="H17" s="192"/>
      <c r="I17" s="201"/>
      <c r="J17" s="222"/>
      <c r="K17" s="201"/>
      <c r="L17" s="204"/>
      <c r="M17" s="182"/>
    </row>
    <row r="18" spans="2:13" x14ac:dyDescent="0.3">
      <c r="B18" s="10">
        <v>9</v>
      </c>
      <c r="C18" s="110" t="s">
        <v>156</v>
      </c>
      <c r="D18" s="98">
        <v>1</v>
      </c>
      <c r="E18" s="92" t="s">
        <v>225</v>
      </c>
      <c r="F18" s="99">
        <v>25000</v>
      </c>
      <c r="G18" s="15">
        <f t="shared" si="0"/>
        <v>25000</v>
      </c>
      <c r="H18" s="192"/>
      <c r="I18" s="201"/>
      <c r="J18" s="222"/>
      <c r="K18" s="201"/>
      <c r="L18" s="204"/>
      <c r="M18" s="182"/>
    </row>
    <row r="19" spans="2:13" x14ac:dyDescent="0.3">
      <c r="B19" s="10">
        <v>10</v>
      </c>
      <c r="C19" s="110" t="s">
        <v>45</v>
      </c>
      <c r="D19" s="98">
        <v>15</v>
      </c>
      <c r="E19" s="92" t="s">
        <v>71</v>
      </c>
      <c r="F19" s="99">
        <v>52500</v>
      </c>
      <c r="G19" s="15">
        <f t="shared" si="0"/>
        <v>787500</v>
      </c>
      <c r="H19" s="192"/>
      <c r="I19" s="201"/>
      <c r="J19" s="222"/>
      <c r="K19" s="201"/>
      <c r="L19" s="204"/>
      <c r="M19" s="182"/>
    </row>
    <row r="20" spans="2:13" x14ac:dyDescent="0.3">
      <c r="B20" s="10">
        <v>11</v>
      </c>
      <c r="C20" s="110" t="s">
        <v>38</v>
      </c>
      <c r="D20" s="98">
        <v>3</v>
      </c>
      <c r="E20" s="92" t="s">
        <v>70</v>
      </c>
      <c r="F20" s="99">
        <v>28000</v>
      </c>
      <c r="G20" s="15">
        <f t="shared" si="0"/>
        <v>84000</v>
      </c>
      <c r="H20" s="192"/>
      <c r="I20" s="201"/>
      <c r="J20" s="222"/>
      <c r="K20" s="201"/>
      <c r="L20" s="204"/>
      <c r="M20" s="182"/>
    </row>
    <row r="21" spans="2:13" x14ac:dyDescent="0.3">
      <c r="B21" s="10">
        <v>12</v>
      </c>
      <c r="C21" s="110" t="s">
        <v>35</v>
      </c>
      <c r="D21" s="98">
        <v>3</v>
      </c>
      <c r="E21" s="92" t="s">
        <v>24</v>
      </c>
      <c r="F21" s="51">
        <v>14500</v>
      </c>
      <c r="G21" s="15">
        <f t="shared" si="0"/>
        <v>43500</v>
      </c>
      <c r="H21" s="192"/>
      <c r="I21" s="201"/>
      <c r="J21" s="222"/>
      <c r="K21" s="201"/>
      <c r="L21" s="204"/>
      <c r="M21" s="182"/>
    </row>
    <row r="22" spans="2:13" x14ac:dyDescent="0.3">
      <c r="B22" s="10">
        <v>13</v>
      </c>
      <c r="C22" s="110" t="s">
        <v>226</v>
      </c>
      <c r="D22" s="98">
        <v>5</v>
      </c>
      <c r="E22" s="92" t="s">
        <v>70</v>
      </c>
      <c r="F22" s="99">
        <v>35600</v>
      </c>
      <c r="G22" s="15">
        <f t="shared" si="0"/>
        <v>178000</v>
      </c>
      <c r="H22" s="192"/>
      <c r="I22" s="201"/>
      <c r="J22" s="222"/>
      <c r="K22" s="201"/>
      <c r="L22" s="204"/>
      <c r="M22" s="182"/>
    </row>
    <row r="23" spans="2:13" x14ac:dyDescent="0.3">
      <c r="B23" s="10">
        <v>14</v>
      </c>
      <c r="C23" s="131" t="s">
        <v>34</v>
      </c>
      <c r="D23" s="132">
        <v>4</v>
      </c>
      <c r="E23" s="133" t="s">
        <v>70</v>
      </c>
      <c r="F23" s="51">
        <v>13000</v>
      </c>
      <c r="G23" s="15">
        <f t="shared" si="0"/>
        <v>52000</v>
      </c>
      <c r="H23" s="192"/>
      <c r="I23" s="201"/>
      <c r="J23" s="222"/>
      <c r="K23" s="201"/>
      <c r="L23" s="204"/>
      <c r="M23" s="182"/>
    </row>
    <row r="24" spans="2:13" x14ac:dyDescent="0.3">
      <c r="B24" s="10">
        <v>15</v>
      </c>
      <c r="C24" s="131" t="s">
        <v>46</v>
      </c>
      <c r="D24" s="132">
        <v>75</v>
      </c>
      <c r="E24" s="133" t="s">
        <v>70</v>
      </c>
      <c r="F24" s="134">
        <v>21200</v>
      </c>
      <c r="G24" s="15">
        <f t="shared" si="0"/>
        <v>1590000</v>
      </c>
      <c r="H24" s="192"/>
      <c r="I24" s="201"/>
      <c r="J24" s="222"/>
      <c r="K24" s="201"/>
      <c r="L24" s="204"/>
      <c r="M24" s="182"/>
    </row>
    <row r="25" spans="2:13" x14ac:dyDescent="0.3">
      <c r="B25" s="10">
        <v>16</v>
      </c>
      <c r="C25" s="11" t="s">
        <v>122</v>
      </c>
      <c r="D25" s="12">
        <v>115</v>
      </c>
      <c r="E25" s="13" t="s">
        <v>70</v>
      </c>
      <c r="F25" s="14">
        <v>15500</v>
      </c>
      <c r="G25" s="15">
        <f t="shared" si="0"/>
        <v>1782500</v>
      </c>
      <c r="H25" s="192"/>
      <c r="I25" s="201"/>
      <c r="J25" s="222"/>
      <c r="K25" s="201"/>
      <c r="L25" s="204"/>
      <c r="M25" s="182"/>
    </row>
    <row r="26" spans="2:13" x14ac:dyDescent="0.3">
      <c r="B26" s="10"/>
      <c r="C26" s="11"/>
      <c r="D26" s="12"/>
      <c r="E26" s="13"/>
      <c r="F26" s="14"/>
      <c r="G26" s="15"/>
      <c r="H26" s="192"/>
      <c r="I26" s="201"/>
      <c r="J26" s="222"/>
      <c r="K26" s="201"/>
      <c r="L26" s="204"/>
      <c r="M26" s="182"/>
    </row>
    <row r="27" spans="2:13" x14ac:dyDescent="0.3">
      <c r="B27" s="206" t="s">
        <v>50</v>
      </c>
      <c r="C27" s="207"/>
      <c r="D27" s="207"/>
      <c r="E27" s="207"/>
      <c r="F27" s="207"/>
      <c r="G27" s="207"/>
      <c r="H27" s="207"/>
      <c r="I27" s="207"/>
      <c r="J27" s="208"/>
      <c r="K27" s="21">
        <f>SUM(K10)</f>
        <v>18642090</v>
      </c>
      <c r="L27" s="22"/>
      <c r="M27" s="23"/>
    </row>
    <row r="29" spans="2:13" ht="15" thickBot="1" x14ac:dyDescent="0.35"/>
    <row r="30" spans="2:13" ht="15" thickBot="1" x14ac:dyDescent="0.35">
      <c r="B30" s="209" t="s">
        <v>51</v>
      </c>
      <c r="C30" s="210"/>
      <c r="D30" s="210"/>
      <c r="E30" s="210"/>
      <c r="F30" s="210"/>
      <c r="G30" s="210"/>
      <c r="H30" s="210"/>
      <c r="I30" s="210"/>
      <c r="J30" s="210"/>
      <c r="K30" s="210"/>
      <c r="L30" s="210"/>
      <c r="M30" s="211"/>
    </row>
    <row r="31" spans="2:13" ht="15" thickBot="1" x14ac:dyDescent="0.35">
      <c r="B31" s="25" t="s">
        <v>52</v>
      </c>
      <c r="C31" s="26" t="s">
        <v>53</v>
      </c>
      <c r="D31" s="26" t="s">
        <v>8</v>
      </c>
      <c r="E31" s="26" t="s">
        <v>9</v>
      </c>
      <c r="F31" s="27" t="s">
        <v>10</v>
      </c>
      <c r="G31" s="27" t="s">
        <v>54</v>
      </c>
      <c r="H31" s="2" t="s">
        <v>12</v>
      </c>
      <c r="I31" s="2" t="s">
        <v>13</v>
      </c>
      <c r="J31" s="2" t="s">
        <v>14</v>
      </c>
      <c r="K31" s="2" t="s">
        <v>15</v>
      </c>
      <c r="L31" s="26" t="s">
        <v>55</v>
      </c>
      <c r="M31" s="28" t="s">
        <v>17</v>
      </c>
    </row>
    <row r="32" spans="2:13" x14ac:dyDescent="0.3">
      <c r="B32" s="10">
        <v>1</v>
      </c>
      <c r="C32" s="29" t="s">
        <v>56</v>
      </c>
      <c r="D32" s="30">
        <v>0</v>
      </c>
      <c r="E32" s="30" t="s">
        <v>57</v>
      </c>
      <c r="F32" s="31">
        <v>250000</v>
      </c>
      <c r="G32" s="31">
        <f>D32*F32</f>
        <v>0</v>
      </c>
      <c r="H32" s="246" t="s">
        <v>58</v>
      </c>
      <c r="I32" s="246" t="s">
        <v>21</v>
      </c>
      <c r="J32" s="246" t="s">
        <v>22</v>
      </c>
      <c r="K32" s="259">
        <f>SUM(G32:G35)</f>
        <v>103000</v>
      </c>
      <c r="L32" s="216"/>
      <c r="M32" s="219"/>
    </row>
    <row r="33" spans="2:14" s="276" customFormat="1" x14ac:dyDescent="0.3">
      <c r="B33" s="271">
        <v>2</v>
      </c>
      <c r="C33" s="272" t="s">
        <v>80</v>
      </c>
      <c r="D33" s="273">
        <v>0</v>
      </c>
      <c r="E33" s="273" t="s">
        <v>57</v>
      </c>
      <c r="F33" s="274">
        <v>1500000</v>
      </c>
      <c r="G33" s="274">
        <f>D33*F33</f>
        <v>0</v>
      </c>
      <c r="H33" s="195"/>
      <c r="I33" s="195"/>
      <c r="J33" s="195"/>
      <c r="K33" s="201"/>
      <c r="L33" s="217"/>
      <c r="M33" s="220"/>
      <c r="N33" s="275" t="s">
        <v>214</v>
      </c>
    </row>
    <row r="34" spans="2:14" s="276" customFormat="1" x14ac:dyDescent="0.3">
      <c r="B34" s="271">
        <v>3</v>
      </c>
      <c r="C34" s="272" t="s">
        <v>232</v>
      </c>
      <c r="D34" s="273">
        <v>1</v>
      </c>
      <c r="E34" s="273" t="s">
        <v>235</v>
      </c>
      <c r="F34" s="274">
        <v>10300</v>
      </c>
      <c r="G34" s="274">
        <f t="shared" ref="G34:G35" si="1">D34*F34</f>
        <v>10300</v>
      </c>
      <c r="H34" s="195"/>
      <c r="I34" s="195"/>
      <c r="J34" s="195"/>
      <c r="K34" s="201"/>
      <c r="L34" s="217"/>
      <c r="M34" s="220"/>
      <c r="N34" s="275"/>
    </row>
    <row r="35" spans="2:14" s="276" customFormat="1" x14ac:dyDescent="0.3">
      <c r="B35" s="271">
        <v>4</v>
      </c>
      <c r="C35" s="272" t="s">
        <v>233</v>
      </c>
      <c r="D35" s="273">
        <v>1</v>
      </c>
      <c r="E35" s="273" t="s">
        <v>234</v>
      </c>
      <c r="F35" s="274">
        <v>92700</v>
      </c>
      <c r="G35" s="274">
        <f t="shared" si="1"/>
        <v>92700</v>
      </c>
      <c r="H35" s="196"/>
      <c r="I35" s="196"/>
      <c r="J35" s="196"/>
      <c r="K35" s="202"/>
      <c r="L35" s="217"/>
      <c r="M35" s="220"/>
      <c r="N35" s="275"/>
    </row>
    <row r="36" spans="2:14" ht="25.5" customHeight="1" x14ac:dyDescent="0.3">
      <c r="B36" s="271">
        <v>5</v>
      </c>
      <c r="C36" s="29" t="s">
        <v>61</v>
      </c>
      <c r="D36" s="30">
        <v>15</v>
      </c>
      <c r="E36" s="30" t="s">
        <v>62</v>
      </c>
      <c r="F36" s="31">
        <v>10000</v>
      </c>
      <c r="G36" s="31">
        <f>D36*F36</f>
        <v>150000</v>
      </c>
      <c r="H36" s="74" t="s">
        <v>123</v>
      </c>
      <c r="I36" s="74" t="s">
        <v>21</v>
      </c>
      <c r="J36" s="75" t="s">
        <v>124</v>
      </c>
      <c r="K36" s="118">
        <f>SUM(G32:G36)</f>
        <v>253000</v>
      </c>
      <c r="L36" s="217"/>
      <c r="M36" s="220"/>
    </row>
    <row r="37" spans="2:14" x14ac:dyDescent="0.3">
      <c r="B37" s="206" t="s">
        <v>64</v>
      </c>
      <c r="C37" s="207"/>
      <c r="D37" s="207"/>
      <c r="E37" s="207"/>
      <c r="F37" s="207"/>
      <c r="G37" s="207"/>
      <c r="H37" s="207"/>
      <c r="I37" s="207"/>
      <c r="J37" s="207"/>
      <c r="K37" s="119">
        <f>SUM(K32:K36)</f>
        <v>356000</v>
      </c>
      <c r="L37" s="35"/>
      <c r="M37" s="36"/>
    </row>
  </sheetData>
  <mergeCells count="21">
    <mergeCell ref="B37:J37"/>
    <mergeCell ref="B27:J27"/>
    <mergeCell ref="B30:M30"/>
    <mergeCell ref="L32:L36"/>
    <mergeCell ref="M32:M36"/>
    <mergeCell ref="H32:H35"/>
    <mergeCell ref="I32:I35"/>
    <mergeCell ref="J32:J35"/>
    <mergeCell ref="K32:K35"/>
    <mergeCell ref="M10:M26"/>
    <mergeCell ref="B3:M3"/>
    <mergeCell ref="B4:M4"/>
    <mergeCell ref="B5:M5"/>
    <mergeCell ref="B6:M6"/>
    <mergeCell ref="B7:M7"/>
    <mergeCell ref="B8:M8"/>
    <mergeCell ref="H10:H26"/>
    <mergeCell ref="I10:I26"/>
    <mergeCell ref="J10:J26"/>
    <mergeCell ref="K10:K26"/>
    <mergeCell ref="L10:L2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D2A3-8C89-4A62-974D-C12AF9C76540}">
  <dimension ref="B3:M31"/>
  <sheetViews>
    <sheetView topLeftCell="B1" workbookViewId="0">
      <selection activeCell="D16" sqref="D16"/>
    </sheetView>
  </sheetViews>
  <sheetFormatPr defaultRowHeight="14.4" x14ac:dyDescent="0.3"/>
  <cols>
    <col min="1" max="1" width="12.5546875" customWidth="1"/>
    <col min="2" max="2" width="5.6640625" customWidth="1"/>
    <col min="3" max="3" width="37.109375" customWidth="1"/>
    <col min="4" max="4" width="14.5546875" customWidth="1"/>
    <col min="5" max="5" width="11.109375" customWidth="1"/>
    <col min="6" max="6" width="18.88671875" customWidth="1"/>
    <col min="7" max="7" width="18.5546875" customWidth="1"/>
    <col min="8" max="8" width="17" customWidth="1"/>
    <col min="9" max="10" width="17.88671875" customWidth="1"/>
    <col min="11" max="11" width="20.5546875" customWidth="1"/>
  </cols>
  <sheetData>
    <row r="3" spans="2:13" ht="18" x14ac:dyDescent="0.35">
      <c r="B3" s="184" t="s">
        <v>0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</row>
    <row r="4" spans="2:13" ht="15.6" x14ac:dyDescent="0.3">
      <c r="B4" s="185" t="s">
        <v>1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</row>
    <row r="5" spans="2:13" ht="15.6" x14ac:dyDescent="0.3">
      <c r="B5" s="185" t="s">
        <v>2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</row>
    <row r="6" spans="2:13" x14ac:dyDescent="0.3">
      <c r="B6" s="186" t="s">
        <v>196</v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</row>
    <row r="7" spans="2:13" ht="15" thickBot="1" x14ac:dyDescent="0.35">
      <c r="B7" s="187" t="s">
        <v>66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</row>
    <row r="8" spans="2:13" ht="15" thickBot="1" x14ac:dyDescent="0.35">
      <c r="B8" s="188" t="s">
        <v>5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90"/>
    </row>
    <row r="9" spans="2:13" ht="18" customHeight="1" thickBot="1" x14ac:dyDescent="0.35">
      <c r="B9" s="25" t="s">
        <v>6</v>
      </c>
      <c r="C9" s="26" t="s">
        <v>7</v>
      </c>
      <c r="D9" s="26" t="s">
        <v>8</v>
      </c>
      <c r="E9" s="26" t="s">
        <v>9</v>
      </c>
      <c r="F9" s="26" t="s">
        <v>10</v>
      </c>
      <c r="G9" s="26" t="s">
        <v>11</v>
      </c>
      <c r="H9" s="26" t="s">
        <v>12</v>
      </c>
      <c r="I9" s="26" t="s">
        <v>13</v>
      </c>
      <c r="J9" s="26" t="s">
        <v>14</v>
      </c>
      <c r="K9" s="26" t="s">
        <v>15</v>
      </c>
      <c r="L9" s="26" t="s">
        <v>16</v>
      </c>
      <c r="M9" s="28" t="s">
        <v>17</v>
      </c>
    </row>
    <row r="10" spans="2:13" x14ac:dyDescent="0.3">
      <c r="B10" s="38">
        <v>1</v>
      </c>
      <c r="C10" s="126" t="s">
        <v>18</v>
      </c>
      <c r="D10" s="127">
        <v>13</v>
      </c>
      <c r="E10" s="128" t="s">
        <v>19</v>
      </c>
      <c r="F10" s="283">
        <v>175000</v>
      </c>
      <c r="G10" s="43">
        <f>F10*D10</f>
        <v>2275000</v>
      </c>
      <c r="H10" s="192" t="s">
        <v>58</v>
      </c>
      <c r="I10" s="201" t="s">
        <v>59</v>
      </c>
      <c r="J10" s="222" t="s">
        <v>22</v>
      </c>
      <c r="K10" s="250">
        <f>SUM(G10:G21)</f>
        <v>16087300</v>
      </c>
      <c r="L10" s="204"/>
      <c r="M10" s="182"/>
    </row>
    <row r="11" spans="2:13" x14ac:dyDescent="0.3">
      <c r="B11" s="10">
        <v>2</v>
      </c>
      <c r="C11" s="110" t="s">
        <v>154</v>
      </c>
      <c r="D11" s="98">
        <v>170</v>
      </c>
      <c r="E11" s="92" t="s">
        <v>70</v>
      </c>
      <c r="F11" s="99">
        <v>40600</v>
      </c>
      <c r="G11" s="15">
        <f t="shared" ref="G11:G21" si="0">F11*D11</f>
        <v>6902000</v>
      </c>
      <c r="H11" s="192"/>
      <c r="I11" s="201"/>
      <c r="J11" s="222"/>
      <c r="K11" s="201"/>
      <c r="L11" s="204"/>
      <c r="M11" s="182"/>
    </row>
    <row r="12" spans="2:13" x14ac:dyDescent="0.3">
      <c r="B12" s="10">
        <v>3</v>
      </c>
      <c r="C12" s="110" t="s">
        <v>121</v>
      </c>
      <c r="D12" s="98">
        <v>12</v>
      </c>
      <c r="E12" s="92" t="s">
        <v>151</v>
      </c>
      <c r="F12" s="99">
        <v>12360</v>
      </c>
      <c r="G12" s="15">
        <f t="shared" si="0"/>
        <v>148320</v>
      </c>
      <c r="H12" s="192"/>
      <c r="I12" s="201"/>
      <c r="J12" s="222"/>
      <c r="K12" s="201"/>
      <c r="L12" s="204"/>
      <c r="M12" s="182"/>
    </row>
    <row r="13" spans="2:13" x14ac:dyDescent="0.3">
      <c r="B13" s="10">
        <v>4</v>
      </c>
      <c r="C13" s="110" t="s">
        <v>30</v>
      </c>
      <c r="D13" s="98">
        <v>55</v>
      </c>
      <c r="E13" s="92" t="s">
        <v>140</v>
      </c>
      <c r="F13" s="99">
        <v>24500</v>
      </c>
      <c r="G13" s="15">
        <f t="shared" si="0"/>
        <v>1347500</v>
      </c>
      <c r="H13" s="192"/>
      <c r="I13" s="201"/>
      <c r="J13" s="222"/>
      <c r="K13" s="201"/>
      <c r="L13" s="204"/>
      <c r="M13" s="182"/>
    </row>
    <row r="14" spans="2:13" x14ac:dyDescent="0.3">
      <c r="B14" s="10">
        <v>5</v>
      </c>
      <c r="C14" s="110" t="s">
        <v>156</v>
      </c>
      <c r="D14" s="98">
        <v>4</v>
      </c>
      <c r="E14" s="92" t="s">
        <v>225</v>
      </c>
      <c r="F14" s="99">
        <v>29120</v>
      </c>
      <c r="G14" s="15">
        <f>F14*D14</f>
        <v>116480</v>
      </c>
      <c r="H14" s="192"/>
      <c r="I14" s="201"/>
      <c r="J14" s="222"/>
      <c r="K14" s="201"/>
      <c r="L14" s="204"/>
      <c r="M14" s="182"/>
    </row>
    <row r="15" spans="2:13" x14ac:dyDescent="0.3">
      <c r="B15" s="10">
        <v>6</v>
      </c>
      <c r="C15" s="110" t="s">
        <v>43</v>
      </c>
      <c r="D15" s="98">
        <v>240</v>
      </c>
      <c r="E15" s="92" t="s">
        <v>71</v>
      </c>
      <c r="F15" s="99">
        <v>2750</v>
      </c>
      <c r="G15" s="15">
        <f t="shared" si="0"/>
        <v>660000</v>
      </c>
      <c r="H15" s="192"/>
      <c r="I15" s="201"/>
      <c r="J15" s="222"/>
      <c r="K15" s="201"/>
      <c r="L15" s="204"/>
      <c r="M15" s="182"/>
    </row>
    <row r="16" spans="2:13" x14ac:dyDescent="0.3">
      <c r="B16" s="10">
        <v>7</v>
      </c>
      <c r="C16" s="110" t="s">
        <v>47</v>
      </c>
      <c r="D16" s="98">
        <v>28</v>
      </c>
      <c r="E16" s="92" t="s">
        <v>70</v>
      </c>
      <c r="F16" s="99">
        <v>12000</v>
      </c>
      <c r="G16" s="15">
        <f t="shared" si="0"/>
        <v>336000</v>
      </c>
      <c r="H16" s="192"/>
      <c r="I16" s="201"/>
      <c r="J16" s="222"/>
      <c r="K16" s="201"/>
      <c r="L16" s="204"/>
      <c r="M16" s="182"/>
    </row>
    <row r="17" spans="2:13" x14ac:dyDescent="0.3">
      <c r="B17" s="10">
        <v>8</v>
      </c>
      <c r="C17" s="110" t="s">
        <v>227</v>
      </c>
      <c r="D17" s="98">
        <v>97</v>
      </c>
      <c r="E17" s="92" t="s">
        <v>70</v>
      </c>
      <c r="F17" s="99">
        <v>22500</v>
      </c>
      <c r="G17" s="15">
        <f t="shared" si="0"/>
        <v>2182500</v>
      </c>
      <c r="H17" s="192"/>
      <c r="I17" s="201"/>
      <c r="J17" s="222"/>
      <c r="K17" s="201"/>
      <c r="L17" s="204"/>
      <c r="M17" s="182"/>
    </row>
    <row r="18" spans="2:13" x14ac:dyDescent="0.3">
      <c r="B18" s="10">
        <v>9</v>
      </c>
      <c r="C18" s="110" t="s">
        <v>226</v>
      </c>
      <c r="D18" s="98">
        <v>3</v>
      </c>
      <c r="E18" s="92" t="s">
        <v>70</v>
      </c>
      <c r="F18" s="99">
        <v>31500</v>
      </c>
      <c r="G18" s="15">
        <f t="shared" si="0"/>
        <v>94500</v>
      </c>
      <c r="H18" s="192"/>
      <c r="I18" s="201"/>
      <c r="J18" s="222"/>
      <c r="K18" s="201"/>
      <c r="L18" s="204"/>
      <c r="M18" s="182"/>
    </row>
    <row r="19" spans="2:13" x14ac:dyDescent="0.3">
      <c r="B19" s="10">
        <v>10</v>
      </c>
      <c r="C19" s="110" t="s">
        <v>228</v>
      </c>
      <c r="D19" s="98">
        <v>125</v>
      </c>
      <c r="E19" s="92" t="s">
        <v>68</v>
      </c>
      <c r="F19" s="99">
        <v>15700</v>
      </c>
      <c r="G19" s="15">
        <f t="shared" si="0"/>
        <v>1962500</v>
      </c>
      <c r="H19" s="192"/>
      <c r="I19" s="201"/>
      <c r="J19" s="222"/>
      <c r="K19" s="201"/>
      <c r="L19" s="204"/>
      <c r="M19" s="182"/>
    </row>
    <row r="20" spans="2:13" x14ac:dyDescent="0.3">
      <c r="B20" s="10">
        <v>11</v>
      </c>
      <c r="C20" s="110" t="s">
        <v>229</v>
      </c>
      <c r="D20" s="98">
        <v>5</v>
      </c>
      <c r="E20" s="92" t="s">
        <v>70</v>
      </c>
      <c r="F20" s="99">
        <v>12500</v>
      </c>
      <c r="G20" s="15">
        <f t="shared" si="0"/>
        <v>62500</v>
      </c>
      <c r="H20" s="192"/>
      <c r="I20" s="201"/>
      <c r="J20" s="222"/>
      <c r="K20" s="201"/>
      <c r="L20" s="204"/>
      <c r="M20" s="182"/>
    </row>
    <row r="21" spans="2:13" x14ac:dyDescent="0.3">
      <c r="B21" s="10"/>
      <c r="C21" s="44"/>
      <c r="D21" s="120"/>
      <c r="E21" s="117"/>
      <c r="F21" s="51"/>
      <c r="G21" s="15"/>
      <c r="H21" s="192"/>
      <c r="I21" s="201"/>
      <c r="J21" s="222"/>
      <c r="K21" s="201"/>
      <c r="L21" s="204"/>
      <c r="M21" s="182"/>
    </row>
    <row r="22" spans="2:13" x14ac:dyDescent="0.3">
      <c r="B22" s="206" t="s">
        <v>50</v>
      </c>
      <c r="C22" s="207"/>
      <c r="D22" s="207"/>
      <c r="E22" s="207"/>
      <c r="F22" s="207"/>
      <c r="G22" s="207"/>
      <c r="H22" s="207"/>
      <c r="I22" s="207"/>
      <c r="J22" s="208"/>
      <c r="K22" s="21">
        <f>SUM(K10)</f>
        <v>16087300</v>
      </c>
      <c r="L22" s="22"/>
      <c r="M22" s="23"/>
    </row>
    <row r="24" spans="2:13" ht="15" thickBot="1" x14ac:dyDescent="0.35"/>
    <row r="25" spans="2:13" ht="15" thickBot="1" x14ac:dyDescent="0.35">
      <c r="B25" s="209" t="s">
        <v>51</v>
      </c>
      <c r="C25" s="210"/>
      <c r="D25" s="210"/>
      <c r="E25" s="210"/>
      <c r="F25" s="210"/>
      <c r="G25" s="210"/>
      <c r="H25" s="210"/>
      <c r="I25" s="210"/>
      <c r="J25" s="210"/>
      <c r="K25" s="210"/>
      <c r="L25" s="210"/>
      <c r="M25" s="211"/>
    </row>
    <row r="26" spans="2:13" ht="15" thickBot="1" x14ac:dyDescent="0.35">
      <c r="B26" s="25" t="s">
        <v>52</v>
      </c>
      <c r="C26" s="26" t="s">
        <v>53</v>
      </c>
      <c r="D26" s="26" t="s">
        <v>8</v>
      </c>
      <c r="E26" s="26" t="s">
        <v>9</v>
      </c>
      <c r="F26" s="27" t="s">
        <v>10</v>
      </c>
      <c r="G26" s="27" t="s">
        <v>54</v>
      </c>
      <c r="H26" s="26" t="s">
        <v>12</v>
      </c>
      <c r="I26" s="26" t="s">
        <v>13</v>
      </c>
      <c r="J26" s="26" t="s">
        <v>14</v>
      </c>
      <c r="K26" s="26" t="s">
        <v>15</v>
      </c>
      <c r="L26" s="26" t="s">
        <v>55</v>
      </c>
      <c r="M26" s="28" t="s">
        <v>17</v>
      </c>
    </row>
    <row r="27" spans="2:13" x14ac:dyDescent="0.3">
      <c r="B27" s="10">
        <v>1</v>
      </c>
      <c r="C27" s="29" t="s">
        <v>56</v>
      </c>
      <c r="D27" s="30">
        <v>0</v>
      </c>
      <c r="E27" s="30" t="s">
        <v>57</v>
      </c>
      <c r="F27" s="31">
        <v>250000</v>
      </c>
      <c r="G27" s="31">
        <f>D27*F27</f>
        <v>0</v>
      </c>
      <c r="H27" s="216"/>
      <c r="I27" s="216"/>
      <c r="J27" s="216"/>
      <c r="K27" s="216"/>
      <c r="L27" s="216"/>
      <c r="M27" s="219"/>
    </row>
    <row r="28" spans="2:13" x14ac:dyDescent="0.3">
      <c r="B28" s="10">
        <v>2</v>
      </c>
      <c r="C28" s="29" t="s">
        <v>80</v>
      </c>
      <c r="D28" s="30">
        <v>2</v>
      </c>
      <c r="E28" s="30" t="s">
        <v>57</v>
      </c>
      <c r="F28" s="31">
        <v>1500000</v>
      </c>
      <c r="G28" s="31">
        <f>D28*F28</f>
        <v>3000000</v>
      </c>
      <c r="H28" s="217"/>
      <c r="I28" s="217"/>
      <c r="J28" s="217"/>
      <c r="K28" s="217"/>
      <c r="L28" s="217"/>
      <c r="M28" s="220"/>
    </row>
    <row r="29" spans="2:13" x14ac:dyDescent="0.3">
      <c r="B29" s="10">
        <v>3</v>
      </c>
      <c r="C29" s="29" t="s">
        <v>61</v>
      </c>
      <c r="D29" s="30">
        <v>0</v>
      </c>
      <c r="E29" s="30" t="s">
        <v>62</v>
      </c>
      <c r="F29" s="31">
        <v>10000</v>
      </c>
      <c r="G29" s="31">
        <f>D29*F29</f>
        <v>0</v>
      </c>
      <c r="H29" s="218"/>
      <c r="I29" s="218"/>
      <c r="J29" s="218"/>
      <c r="K29" s="218"/>
      <c r="L29" s="217"/>
      <c r="M29" s="220"/>
    </row>
    <row r="30" spans="2:13" ht="37.799999999999997" x14ac:dyDescent="0.3">
      <c r="B30" s="10">
        <v>4</v>
      </c>
      <c r="C30" s="44" t="s">
        <v>215</v>
      </c>
      <c r="D30" s="120">
        <v>9</v>
      </c>
      <c r="E30" s="91" t="s">
        <v>216</v>
      </c>
      <c r="F30" s="99">
        <v>7000</v>
      </c>
      <c r="G30" s="31">
        <f>D30*F30</f>
        <v>63000</v>
      </c>
      <c r="H30" s="30" t="s">
        <v>217</v>
      </c>
      <c r="I30" s="74" t="s">
        <v>133</v>
      </c>
      <c r="J30" s="80" t="s">
        <v>146</v>
      </c>
      <c r="K30" s="124">
        <f>SUM(G30)</f>
        <v>63000</v>
      </c>
      <c r="L30" s="217"/>
      <c r="M30" s="220"/>
    </row>
    <row r="31" spans="2:13" x14ac:dyDescent="0.3">
      <c r="B31" s="206" t="s">
        <v>64</v>
      </c>
      <c r="C31" s="207"/>
      <c r="D31" s="207"/>
      <c r="E31" s="207"/>
      <c r="F31" s="207"/>
      <c r="G31" s="207"/>
      <c r="H31" s="207"/>
      <c r="I31" s="207"/>
      <c r="J31" s="207"/>
      <c r="K31" s="119">
        <f>SUM(K27:K30)</f>
        <v>63000</v>
      </c>
      <c r="L31" s="35"/>
      <c r="M31" s="36"/>
    </row>
  </sheetData>
  <mergeCells count="21">
    <mergeCell ref="B31:J31"/>
    <mergeCell ref="B22:J22"/>
    <mergeCell ref="B25:M25"/>
    <mergeCell ref="H27:H29"/>
    <mergeCell ref="I27:I29"/>
    <mergeCell ref="J27:J29"/>
    <mergeCell ref="K27:K29"/>
    <mergeCell ref="L27:L30"/>
    <mergeCell ref="M27:M30"/>
    <mergeCell ref="M10:M21"/>
    <mergeCell ref="B3:M3"/>
    <mergeCell ref="B4:M4"/>
    <mergeCell ref="B5:M5"/>
    <mergeCell ref="B6:M6"/>
    <mergeCell ref="B7:M7"/>
    <mergeCell ref="B8:M8"/>
    <mergeCell ref="H10:H21"/>
    <mergeCell ref="I10:I21"/>
    <mergeCell ref="J10:J21"/>
    <mergeCell ref="K10:K21"/>
    <mergeCell ref="L10:L2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9F58-22FB-4FCB-A5EF-A34DE4657298}">
  <dimension ref="B3:N25"/>
  <sheetViews>
    <sheetView zoomScale="90" zoomScaleNormal="90" workbookViewId="0">
      <selection activeCell="D10" sqref="D10"/>
    </sheetView>
  </sheetViews>
  <sheetFormatPr defaultRowHeight="14.4" x14ac:dyDescent="0.3"/>
  <cols>
    <col min="1" max="1" width="12.5546875" customWidth="1"/>
    <col min="2" max="2" width="5.6640625" customWidth="1"/>
    <col min="3" max="3" width="37.109375" customWidth="1"/>
    <col min="4" max="4" width="14.5546875" customWidth="1"/>
    <col min="5" max="5" width="11.109375" customWidth="1"/>
    <col min="6" max="6" width="18.88671875" customWidth="1"/>
    <col min="7" max="7" width="18.5546875" customWidth="1"/>
    <col min="8" max="8" width="17" customWidth="1"/>
    <col min="9" max="10" width="17.88671875" customWidth="1"/>
    <col min="11" max="11" width="20.5546875" customWidth="1"/>
  </cols>
  <sheetData>
    <row r="3" spans="2:13" ht="18" x14ac:dyDescent="0.35">
      <c r="B3" s="184" t="s">
        <v>0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</row>
    <row r="4" spans="2:13" ht="22.2" customHeight="1" x14ac:dyDescent="0.3">
      <c r="B4" s="185" t="s">
        <v>1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</row>
    <row r="5" spans="2:13" ht="15.6" x14ac:dyDescent="0.3">
      <c r="B5" s="185" t="s">
        <v>2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</row>
    <row r="6" spans="2:13" x14ac:dyDescent="0.3">
      <c r="B6" s="186" t="s">
        <v>205</v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</row>
    <row r="7" spans="2:13" ht="15" thickBot="1" x14ac:dyDescent="0.35">
      <c r="B7" s="187" t="s">
        <v>66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</row>
    <row r="8" spans="2:13" ht="15" thickBot="1" x14ac:dyDescent="0.35">
      <c r="B8" s="188" t="s">
        <v>5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90"/>
    </row>
    <row r="9" spans="2:13" ht="15" thickBot="1" x14ac:dyDescent="0.35">
      <c r="B9" s="268" t="s">
        <v>6</v>
      </c>
      <c r="C9" s="269" t="s">
        <v>7</v>
      </c>
      <c r="D9" s="269" t="s">
        <v>8</v>
      </c>
      <c r="E9" s="269" t="s">
        <v>9</v>
      </c>
      <c r="F9" s="269" t="s">
        <v>10</v>
      </c>
      <c r="G9" s="269" t="s">
        <v>11</v>
      </c>
      <c r="H9" s="269" t="s">
        <v>12</v>
      </c>
      <c r="I9" s="269" t="s">
        <v>13</v>
      </c>
      <c r="J9" s="269" t="s">
        <v>14</v>
      </c>
      <c r="K9" s="2" t="s">
        <v>15</v>
      </c>
      <c r="L9" s="2" t="s">
        <v>16</v>
      </c>
      <c r="M9" s="3" t="s">
        <v>17</v>
      </c>
    </row>
    <row r="10" spans="2:13" x14ac:dyDescent="0.3">
      <c r="B10" s="38">
        <v>1</v>
      </c>
      <c r="C10" s="126" t="s">
        <v>49</v>
      </c>
      <c r="D10" s="127">
        <v>87</v>
      </c>
      <c r="E10" s="128" t="s">
        <v>71</v>
      </c>
      <c r="F10" s="283">
        <v>65000</v>
      </c>
      <c r="G10" s="43">
        <f>D10*F10</f>
        <v>5655000</v>
      </c>
      <c r="H10" s="192" t="s">
        <v>58</v>
      </c>
      <c r="I10" s="201" t="s">
        <v>59</v>
      </c>
      <c r="J10" s="222" t="s">
        <v>22</v>
      </c>
      <c r="K10" s="200">
        <f>SUM(G10:G13)</f>
        <v>13786000</v>
      </c>
      <c r="L10" s="203"/>
      <c r="M10" s="181"/>
    </row>
    <row r="11" spans="2:13" x14ac:dyDescent="0.3">
      <c r="B11" s="10">
        <v>2</v>
      </c>
      <c r="C11" s="126" t="s">
        <v>230</v>
      </c>
      <c r="D11" s="127">
        <v>130</v>
      </c>
      <c r="E11" s="128" t="s">
        <v>70</v>
      </c>
      <c r="F11" s="283">
        <v>15700</v>
      </c>
      <c r="G11" s="15">
        <f t="shared" ref="G11:G13" si="0">F11*D11</f>
        <v>2041000</v>
      </c>
      <c r="H11" s="192"/>
      <c r="I11" s="201"/>
      <c r="J11" s="222"/>
      <c r="K11" s="201"/>
      <c r="L11" s="204"/>
      <c r="M11" s="182"/>
    </row>
    <row r="12" spans="2:13" x14ac:dyDescent="0.3">
      <c r="B12" s="10">
        <v>3</v>
      </c>
      <c r="C12" s="110" t="s">
        <v>168</v>
      </c>
      <c r="D12" s="98">
        <v>1740</v>
      </c>
      <c r="E12" s="92" t="s">
        <v>75</v>
      </c>
      <c r="F12" s="99">
        <v>3500</v>
      </c>
      <c r="G12" s="15">
        <f t="shared" si="0"/>
        <v>6090000</v>
      </c>
      <c r="H12" s="192"/>
      <c r="I12" s="201"/>
      <c r="J12" s="222"/>
      <c r="K12" s="201"/>
      <c r="L12" s="204"/>
      <c r="M12" s="182"/>
    </row>
    <row r="13" spans="2:13" x14ac:dyDescent="0.3">
      <c r="B13" s="10"/>
      <c r="C13" s="44"/>
      <c r="D13" s="120"/>
      <c r="E13" s="117"/>
      <c r="F13" s="51"/>
      <c r="G13" s="15"/>
      <c r="H13" s="192"/>
      <c r="I13" s="201"/>
      <c r="J13" s="222"/>
      <c r="K13" s="201"/>
      <c r="L13" s="204"/>
      <c r="M13" s="182"/>
    </row>
    <row r="14" spans="2:13" x14ac:dyDescent="0.3">
      <c r="B14" s="206" t="s">
        <v>50</v>
      </c>
      <c r="C14" s="207"/>
      <c r="D14" s="207"/>
      <c r="E14" s="207"/>
      <c r="F14" s="207"/>
      <c r="G14" s="207"/>
      <c r="H14" s="207"/>
      <c r="I14" s="207"/>
      <c r="J14" s="208"/>
      <c r="K14" s="21">
        <f>SUM(K10)</f>
        <v>13786000</v>
      </c>
      <c r="L14" s="22"/>
      <c r="M14" s="23"/>
    </row>
    <row r="16" spans="2:13" ht="15" thickBot="1" x14ac:dyDescent="0.35"/>
    <row r="17" spans="2:14" ht="15" thickBot="1" x14ac:dyDescent="0.35">
      <c r="B17" s="209" t="s">
        <v>51</v>
      </c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1"/>
    </row>
    <row r="18" spans="2:14" ht="15" thickBot="1" x14ac:dyDescent="0.35">
      <c r="B18" s="25" t="s">
        <v>52</v>
      </c>
      <c r="C18" s="26" t="s">
        <v>53</v>
      </c>
      <c r="D18" s="26" t="s">
        <v>8</v>
      </c>
      <c r="E18" s="26" t="s">
        <v>9</v>
      </c>
      <c r="F18" s="27" t="s">
        <v>10</v>
      </c>
      <c r="G18" s="27" t="s">
        <v>54</v>
      </c>
      <c r="H18" s="26" t="s">
        <v>12</v>
      </c>
      <c r="I18" s="26" t="s">
        <v>13</v>
      </c>
      <c r="J18" s="26" t="s">
        <v>14</v>
      </c>
      <c r="K18" s="26" t="s">
        <v>15</v>
      </c>
      <c r="L18" s="26" t="s">
        <v>55</v>
      </c>
      <c r="M18" s="28" t="s">
        <v>17</v>
      </c>
    </row>
    <row r="19" spans="2:14" x14ac:dyDescent="0.3">
      <c r="B19" s="10">
        <v>1</v>
      </c>
      <c r="C19" s="29" t="s">
        <v>56</v>
      </c>
      <c r="D19" s="30">
        <v>0</v>
      </c>
      <c r="E19" s="30" t="s">
        <v>57</v>
      </c>
      <c r="F19" s="31">
        <v>250000</v>
      </c>
      <c r="G19" s="31">
        <f>D19*F19</f>
        <v>0</v>
      </c>
      <c r="H19" s="216"/>
      <c r="I19" s="216"/>
      <c r="J19" s="216"/>
      <c r="K19" s="216"/>
      <c r="L19" s="216"/>
      <c r="M19" s="219"/>
    </row>
    <row r="20" spans="2:14" x14ac:dyDescent="0.3">
      <c r="B20" s="10">
        <v>2</v>
      </c>
      <c r="C20" s="29" t="s">
        <v>80</v>
      </c>
      <c r="D20" s="30">
        <v>0</v>
      </c>
      <c r="E20" s="30" t="s">
        <v>57</v>
      </c>
      <c r="F20" s="31">
        <v>1500000</v>
      </c>
      <c r="G20" s="31">
        <f>D20*F20</f>
        <v>0</v>
      </c>
      <c r="H20" s="217"/>
      <c r="I20" s="217"/>
      <c r="J20" s="217"/>
      <c r="K20" s="217"/>
      <c r="L20" s="217"/>
      <c r="M20" s="220"/>
    </row>
    <row r="21" spans="2:14" x14ac:dyDescent="0.3">
      <c r="B21" s="10">
        <v>3</v>
      </c>
      <c r="C21" s="29" t="s">
        <v>61</v>
      </c>
      <c r="D21" s="30">
        <v>20</v>
      </c>
      <c r="E21" s="30" t="s">
        <v>62</v>
      </c>
      <c r="F21" s="31">
        <v>10000</v>
      </c>
      <c r="G21" s="31">
        <f>D21*F21</f>
        <v>200000</v>
      </c>
      <c r="H21" s="218"/>
      <c r="I21" s="218"/>
      <c r="J21" s="218"/>
      <c r="K21" s="218"/>
      <c r="L21" s="217"/>
      <c r="M21" s="220"/>
      <c r="N21" t="s">
        <v>236</v>
      </c>
    </row>
    <row r="22" spans="2:14" x14ac:dyDescent="0.3">
      <c r="B22" s="10">
        <v>4</v>
      </c>
      <c r="C22" s="44"/>
      <c r="D22" s="120"/>
      <c r="E22" s="117"/>
      <c r="F22" s="51"/>
      <c r="G22" s="143"/>
      <c r="H22" s="82"/>
      <c r="I22" s="82"/>
      <c r="J22" s="82"/>
      <c r="K22" s="122"/>
      <c r="L22" s="217"/>
      <c r="M22" s="220"/>
    </row>
    <row r="23" spans="2:14" x14ac:dyDescent="0.3">
      <c r="B23" s="10">
        <v>5</v>
      </c>
      <c r="C23" s="44"/>
      <c r="D23" s="120"/>
      <c r="E23" s="117"/>
      <c r="F23" s="51"/>
      <c r="G23" s="143"/>
      <c r="H23" s="82"/>
      <c r="I23" s="82"/>
      <c r="J23" s="82"/>
      <c r="K23" s="122"/>
      <c r="L23" s="217"/>
      <c r="M23" s="220"/>
    </row>
    <row r="24" spans="2:14" x14ac:dyDescent="0.3">
      <c r="B24" s="10">
        <v>6</v>
      </c>
      <c r="C24" s="141"/>
      <c r="D24" s="142"/>
      <c r="E24" s="142"/>
      <c r="F24" s="143"/>
      <c r="G24" s="143"/>
      <c r="H24" s="82"/>
      <c r="I24" s="82"/>
      <c r="J24" s="82"/>
      <c r="K24" s="122"/>
      <c r="L24" s="218"/>
      <c r="M24" s="244"/>
    </row>
    <row r="25" spans="2:14" x14ac:dyDescent="0.3">
      <c r="B25" s="206" t="s">
        <v>64</v>
      </c>
      <c r="C25" s="207"/>
      <c r="D25" s="207"/>
      <c r="E25" s="207"/>
      <c r="F25" s="207"/>
      <c r="G25" s="207"/>
      <c r="H25" s="207"/>
      <c r="I25" s="207"/>
      <c r="J25" s="207"/>
      <c r="K25" s="119">
        <f>SUM(K19:K24)</f>
        <v>0</v>
      </c>
      <c r="L25" s="35"/>
      <c r="M25" s="36"/>
    </row>
  </sheetData>
  <mergeCells count="21">
    <mergeCell ref="B25:J25"/>
    <mergeCell ref="B14:J14"/>
    <mergeCell ref="B17:M17"/>
    <mergeCell ref="H19:H21"/>
    <mergeCell ref="I19:I21"/>
    <mergeCell ref="J19:J21"/>
    <mergeCell ref="K19:K21"/>
    <mergeCell ref="L19:L24"/>
    <mergeCell ref="M19:M24"/>
    <mergeCell ref="M10:M13"/>
    <mergeCell ref="B3:M3"/>
    <mergeCell ref="B4:M4"/>
    <mergeCell ref="B5:M5"/>
    <mergeCell ref="B6:M6"/>
    <mergeCell ref="B7:M7"/>
    <mergeCell ref="B8:M8"/>
    <mergeCell ref="H10:H13"/>
    <mergeCell ref="I10:I13"/>
    <mergeCell ref="J10:J13"/>
    <mergeCell ref="K10:K13"/>
    <mergeCell ref="L10:L1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F720-7D03-496D-BC21-75CE7E88505B}">
  <dimension ref="B3:M25"/>
  <sheetViews>
    <sheetView topLeftCell="B4" workbookViewId="0">
      <selection activeCell="E16" sqref="E16"/>
    </sheetView>
  </sheetViews>
  <sheetFormatPr defaultRowHeight="14.4" x14ac:dyDescent="0.3"/>
  <cols>
    <col min="1" max="1" width="12.5546875" customWidth="1"/>
    <col min="2" max="2" width="5.6640625" customWidth="1"/>
    <col min="3" max="3" width="37.109375" customWidth="1"/>
    <col min="4" max="4" width="14.5546875" customWidth="1"/>
    <col min="5" max="5" width="11.109375" customWidth="1"/>
    <col min="6" max="6" width="18.88671875" customWidth="1"/>
    <col min="7" max="7" width="18.5546875" customWidth="1"/>
    <col min="8" max="8" width="17" customWidth="1"/>
    <col min="9" max="10" width="17.88671875" customWidth="1"/>
    <col min="11" max="11" width="20.5546875" customWidth="1"/>
  </cols>
  <sheetData>
    <row r="3" spans="2:13" ht="18" x14ac:dyDescent="0.35">
      <c r="B3" s="184" t="s">
        <v>0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</row>
    <row r="4" spans="2:13" ht="15.6" x14ac:dyDescent="0.3">
      <c r="B4" s="185" t="s">
        <v>1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</row>
    <row r="5" spans="2:13" ht="15.6" x14ac:dyDescent="0.3">
      <c r="B5" s="185" t="s">
        <v>2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</row>
    <row r="6" spans="2:13" x14ac:dyDescent="0.3">
      <c r="B6" s="186" t="s">
        <v>204</v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</row>
    <row r="7" spans="2:13" ht="15" thickBot="1" x14ac:dyDescent="0.35">
      <c r="B7" s="187" t="s">
        <v>66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</row>
    <row r="8" spans="2:13" ht="15" thickBot="1" x14ac:dyDescent="0.35">
      <c r="B8" s="188" t="s">
        <v>5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90"/>
    </row>
    <row r="9" spans="2:13" ht="15" thickBot="1" x14ac:dyDescent="0.35">
      <c r="B9" s="25" t="s">
        <v>6</v>
      </c>
      <c r="C9" s="26" t="s">
        <v>7</v>
      </c>
      <c r="D9" s="26" t="s">
        <v>8</v>
      </c>
      <c r="E9" s="26" t="s">
        <v>9</v>
      </c>
      <c r="F9" s="26" t="s">
        <v>10</v>
      </c>
      <c r="G9" s="26" t="s">
        <v>11</v>
      </c>
      <c r="H9" s="26" t="s">
        <v>12</v>
      </c>
      <c r="I9" s="26" t="s">
        <v>13</v>
      </c>
      <c r="J9" s="26" t="s">
        <v>14</v>
      </c>
      <c r="K9" s="26" t="s">
        <v>15</v>
      </c>
      <c r="L9" s="26" t="s">
        <v>16</v>
      </c>
      <c r="M9" s="28" t="s">
        <v>17</v>
      </c>
    </row>
    <row r="10" spans="2:13" x14ac:dyDescent="0.3">
      <c r="B10" s="38">
        <v>1</v>
      </c>
      <c r="C10" s="126" t="s">
        <v>49</v>
      </c>
      <c r="D10" s="127">
        <v>87</v>
      </c>
      <c r="E10" s="128" t="s">
        <v>71</v>
      </c>
      <c r="F10" s="283">
        <v>65000</v>
      </c>
      <c r="G10" s="43">
        <f>F10*D10</f>
        <v>5655000</v>
      </c>
      <c r="H10" s="192" t="s">
        <v>58</v>
      </c>
      <c r="I10" s="201" t="s">
        <v>59</v>
      </c>
      <c r="J10" s="222" t="s">
        <v>22</v>
      </c>
      <c r="K10" s="250">
        <f>SUM(G10:G13)</f>
        <v>13786000</v>
      </c>
      <c r="L10" s="204"/>
      <c r="M10" s="182"/>
    </row>
    <row r="11" spans="2:13" x14ac:dyDescent="0.3">
      <c r="B11" s="10">
        <v>2</v>
      </c>
      <c r="C11" s="126" t="s">
        <v>230</v>
      </c>
      <c r="D11" s="127">
        <v>130</v>
      </c>
      <c r="E11" s="128" t="s">
        <v>70</v>
      </c>
      <c r="F11" s="283">
        <v>15700</v>
      </c>
      <c r="G11" s="15">
        <f t="shared" ref="G11:G13" si="0">F11*D11</f>
        <v>2041000</v>
      </c>
      <c r="H11" s="192"/>
      <c r="I11" s="201"/>
      <c r="J11" s="222"/>
      <c r="K11" s="201"/>
      <c r="L11" s="204"/>
      <c r="M11" s="182"/>
    </row>
    <row r="12" spans="2:13" x14ac:dyDescent="0.3">
      <c r="B12" s="10">
        <v>3</v>
      </c>
      <c r="C12" s="110" t="s">
        <v>168</v>
      </c>
      <c r="D12" s="98">
        <v>1740</v>
      </c>
      <c r="E12" s="92" t="s">
        <v>75</v>
      </c>
      <c r="F12" s="99">
        <v>3500</v>
      </c>
      <c r="G12" s="15">
        <f t="shared" si="0"/>
        <v>6090000</v>
      </c>
      <c r="H12" s="192"/>
      <c r="I12" s="201"/>
      <c r="J12" s="222"/>
      <c r="K12" s="201"/>
      <c r="L12" s="204"/>
      <c r="M12" s="182"/>
    </row>
    <row r="13" spans="2:13" x14ac:dyDescent="0.3">
      <c r="B13" s="10"/>
      <c r="C13" s="44"/>
      <c r="D13" s="120"/>
      <c r="E13" s="117"/>
      <c r="F13" s="51"/>
      <c r="G13" s="15">
        <f t="shared" si="0"/>
        <v>0</v>
      </c>
      <c r="H13" s="192"/>
      <c r="I13" s="201"/>
      <c r="J13" s="222"/>
      <c r="K13" s="201"/>
      <c r="L13" s="204"/>
      <c r="M13" s="182"/>
    </row>
    <row r="14" spans="2:13" x14ac:dyDescent="0.3">
      <c r="B14" s="206" t="s">
        <v>50</v>
      </c>
      <c r="C14" s="207"/>
      <c r="D14" s="207"/>
      <c r="E14" s="207"/>
      <c r="F14" s="207"/>
      <c r="G14" s="207"/>
      <c r="H14" s="207"/>
      <c r="I14" s="207"/>
      <c r="J14" s="208"/>
      <c r="K14" s="21">
        <f>SUM(K10)</f>
        <v>13786000</v>
      </c>
      <c r="L14" s="22"/>
      <c r="M14" s="23"/>
    </row>
    <row r="16" spans="2:13" ht="15" thickBot="1" x14ac:dyDescent="0.35"/>
    <row r="17" spans="2:13" ht="15" thickBot="1" x14ac:dyDescent="0.35">
      <c r="B17" s="209" t="s">
        <v>51</v>
      </c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1"/>
    </row>
    <row r="18" spans="2:13" ht="15" thickBot="1" x14ac:dyDescent="0.35">
      <c r="B18" s="25" t="s">
        <v>52</v>
      </c>
      <c r="C18" s="26" t="s">
        <v>53</v>
      </c>
      <c r="D18" s="26" t="s">
        <v>8</v>
      </c>
      <c r="E18" s="26" t="s">
        <v>9</v>
      </c>
      <c r="F18" s="27" t="s">
        <v>10</v>
      </c>
      <c r="G18" s="27" t="s">
        <v>54</v>
      </c>
      <c r="H18" s="26" t="s">
        <v>12</v>
      </c>
      <c r="I18" s="26" t="s">
        <v>13</v>
      </c>
      <c r="J18" s="26" t="s">
        <v>14</v>
      </c>
      <c r="K18" s="26" t="s">
        <v>15</v>
      </c>
      <c r="L18" s="26" t="s">
        <v>55</v>
      </c>
      <c r="M18" s="28" t="s">
        <v>17</v>
      </c>
    </row>
    <row r="19" spans="2:13" x14ac:dyDescent="0.3">
      <c r="B19" s="10">
        <v>1</v>
      </c>
      <c r="C19" s="29" t="s">
        <v>56</v>
      </c>
      <c r="D19" s="30">
        <v>0</v>
      </c>
      <c r="E19" s="30" t="s">
        <v>57</v>
      </c>
      <c r="F19" s="31">
        <v>250000</v>
      </c>
      <c r="G19" s="31">
        <f>D19*F19</f>
        <v>0</v>
      </c>
      <c r="H19" s="216"/>
      <c r="I19" s="216"/>
      <c r="J19" s="216"/>
      <c r="K19" s="216"/>
      <c r="L19" s="216"/>
      <c r="M19" s="219"/>
    </row>
    <row r="20" spans="2:13" x14ac:dyDescent="0.3">
      <c r="B20" s="10">
        <v>2</v>
      </c>
      <c r="C20" s="29" t="s">
        <v>80</v>
      </c>
      <c r="D20" s="30">
        <v>0</v>
      </c>
      <c r="E20" s="30" t="s">
        <v>57</v>
      </c>
      <c r="F20" s="31">
        <v>1500000</v>
      </c>
      <c r="G20" s="31">
        <f>D20*F20</f>
        <v>0</v>
      </c>
      <c r="H20" s="217"/>
      <c r="I20" s="217"/>
      <c r="J20" s="217"/>
      <c r="K20" s="217"/>
      <c r="L20" s="217"/>
      <c r="M20" s="220"/>
    </row>
    <row r="21" spans="2:13" x14ac:dyDescent="0.3">
      <c r="B21" s="10">
        <v>3</v>
      </c>
      <c r="C21" s="29" t="s">
        <v>61</v>
      </c>
      <c r="D21" s="30">
        <v>0</v>
      </c>
      <c r="E21" s="30" t="s">
        <v>62</v>
      </c>
      <c r="F21" s="31">
        <v>10000</v>
      </c>
      <c r="G21" s="31">
        <f>D21*F21</f>
        <v>0</v>
      </c>
      <c r="H21" s="218"/>
      <c r="I21" s="218"/>
      <c r="J21" s="218"/>
      <c r="K21" s="218"/>
      <c r="L21" s="217"/>
      <c r="M21" s="220"/>
    </row>
    <row r="22" spans="2:13" x14ac:dyDescent="0.3">
      <c r="B22" s="10">
        <v>4</v>
      </c>
      <c r="C22" s="44" t="s">
        <v>206</v>
      </c>
      <c r="D22" s="120">
        <v>1</v>
      </c>
      <c r="E22" s="117" t="s">
        <v>207</v>
      </c>
      <c r="F22" s="51">
        <v>295000</v>
      </c>
      <c r="G22" s="31">
        <f t="shared" ref="G22:G24" si="1">D22*F22</f>
        <v>295000</v>
      </c>
      <c r="H22" s="82"/>
      <c r="I22" s="82"/>
      <c r="J22" s="82"/>
      <c r="K22" s="168">
        <f>G22</f>
        <v>295000</v>
      </c>
      <c r="L22" s="217"/>
      <c r="M22" s="220"/>
    </row>
    <row r="23" spans="2:13" x14ac:dyDescent="0.3">
      <c r="B23" s="10">
        <v>5</v>
      </c>
      <c r="C23" s="44"/>
      <c r="D23" s="120"/>
      <c r="E23" s="117"/>
      <c r="F23" s="51"/>
      <c r="G23" s="31">
        <f t="shared" si="1"/>
        <v>0</v>
      </c>
      <c r="H23" s="82"/>
      <c r="I23" s="82"/>
      <c r="J23" s="82"/>
      <c r="K23" s="122"/>
      <c r="L23" s="217"/>
      <c r="M23" s="220"/>
    </row>
    <row r="24" spans="2:13" x14ac:dyDescent="0.3">
      <c r="B24" s="10">
        <v>6</v>
      </c>
      <c r="C24" s="141"/>
      <c r="D24" s="142"/>
      <c r="E24" s="142"/>
      <c r="F24" s="143"/>
      <c r="G24" s="31">
        <f t="shared" si="1"/>
        <v>0</v>
      </c>
      <c r="H24" s="82"/>
      <c r="I24" s="82"/>
      <c r="J24" s="82"/>
      <c r="K24" s="122"/>
      <c r="L24" s="218"/>
      <c r="M24" s="244"/>
    </row>
    <row r="25" spans="2:13" x14ac:dyDescent="0.3">
      <c r="B25" s="206" t="s">
        <v>64</v>
      </c>
      <c r="C25" s="207"/>
      <c r="D25" s="207"/>
      <c r="E25" s="207"/>
      <c r="F25" s="207"/>
      <c r="G25" s="207"/>
      <c r="H25" s="207"/>
      <c r="I25" s="207"/>
      <c r="J25" s="207"/>
      <c r="K25" s="119">
        <f>SUM(K19:K24)</f>
        <v>295000</v>
      </c>
      <c r="L25" s="35"/>
      <c r="M25" s="36"/>
    </row>
  </sheetData>
  <mergeCells count="21">
    <mergeCell ref="B25:J25"/>
    <mergeCell ref="B14:J14"/>
    <mergeCell ref="B17:M17"/>
    <mergeCell ref="H19:H21"/>
    <mergeCell ref="I19:I21"/>
    <mergeCell ref="J19:J21"/>
    <mergeCell ref="K19:K21"/>
    <mergeCell ref="L19:L24"/>
    <mergeCell ref="M19:M24"/>
    <mergeCell ref="M10:M13"/>
    <mergeCell ref="B3:M3"/>
    <mergeCell ref="B4:M4"/>
    <mergeCell ref="B5:M5"/>
    <mergeCell ref="B6:M6"/>
    <mergeCell ref="B7:M7"/>
    <mergeCell ref="B8:M8"/>
    <mergeCell ref="H10:H13"/>
    <mergeCell ref="I10:I13"/>
    <mergeCell ref="J10:J13"/>
    <mergeCell ref="K10:K13"/>
    <mergeCell ref="L10:L1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E6037-AAF7-4647-9716-CB563571EA8F}">
  <dimension ref="B4:M39"/>
  <sheetViews>
    <sheetView tabSelected="1" zoomScaleNormal="100" workbookViewId="0">
      <selection activeCell="E14" sqref="E14"/>
    </sheetView>
  </sheetViews>
  <sheetFormatPr defaultRowHeight="14.4" x14ac:dyDescent="0.3"/>
  <cols>
    <col min="1" max="1" width="21.88671875" customWidth="1"/>
    <col min="2" max="2" width="12.5546875" style="144" customWidth="1"/>
    <col min="3" max="6" width="22.33203125" customWidth="1"/>
    <col min="7" max="7" width="27.44140625" customWidth="1"/>
    <col min="8" max="8" width="27.77734375" customWidth="1"/>
    <col min="10" max="10" width="13.33203125" bestFit="1" customWidth="1"/>
    <col min="11" max="11" width="16" customWidth="1"/>
    <col min="12" max="12" width="20.44140625" customWidth="1"/>
    <col min="13" max="13" width="12.6640625" customWidth="1"/>
  </cols>
  <sheetData>
    <row r="4" spans="2:13" ht="15" thickBot="1" x14ac:dyDescent="0.35"/>
    <row r="5" spans="2:13" s="146" customFormat="1" ht="29.25" customHeight="1" thickBot="1" x14ac:dyDescent="0.35">
      <c r="B5" s="147" t="s">
        <v>199</v>
      </c>
      <c r="C5" s="148" t="s">
        <v>197</v>
      </c>
      <c r="D5" s="148" t="s">
        <v>198</v>
      </c>
      <c r="E5" s="148" t="s">
        <v>202</v>
      </c>
      <c r="F5" s="165" t="s">
        <v>211</v>
      </c>
      <c r="G5" s="166" t="s">
        <v>203</v>
      </c>
    </row>
    <row r="6" spans="2:13" s="101" customFormat="1" ht="18" customHeight="1" x14ac:dyDescent="0.3">
      <c r="B6" s="152">
        <v>45999</v>
      </c>
      <c r="C6" s="153">
        <f>'08 Des'!K33</f>
        <v>10720250</v>
      </c>
      <c r="D6" s="153">
        <f>'08 Des'!K41</f>
        <v>3400000</v>
      </c>
      <c r="E6" s="153">
        <v>6000000</v>
      </c>
      <c r="F6" s="162">
        <v>47020000</v>
      </c>
      <c r="G6" s="154" t="s">
        <v>212</v>
      </c>
      <c r="K6" s="267" t="s">
        <v>224</v>
      </c>
      <c r="L6" s="267"/>
    </row>
    <row r="7" spans="2:13" s="101" customFormat="1" ht="18" customHeight="1" x14ac:dyDescent="0.35">
      <c r="B7" s="155">
        <v>46000</v>
      </c>
      <c r="C7" s="156">
        <f>'09 Des'!K27</f>
        <v>11687640</v>
      </c>
      <c r="D7" s="156">
        <f>'09 Des'!K35</f>
        <v>0</v>
      </c>
      <c r="E7" s="156">
        <v>6000000</v>
      </c>
      <c r="F7" s="163"/>
      <c r="G7" s="157" t="s">
        <v>208</v>
      </c>
      <c r="K7" s="176" t="s">
        <v>56</v>
      </c>
      <c r="L7" s="177">
        <v>5</v>
      </c>
      <c r="M7" s="176" t="s">
        <v>220</v>
      </c>
    </row>
    <row r="8" spans="2:13" s="101" customFormat="1" ht="18" customHeight="1" x14ac:dyDescent="0.35">
      <c r="B8" s="155">
        <v>46001</v>
      </c>
      <c r="C8" s="156">
        <f>'10 Des'!K26</f>
        <v>10685385</v>
      </c>
      <c r="D8" s="156">
        <f>'10 Des'!K38</f>
        <v>396000</v>
      </c>
      <c r="E8" s="156">
        <v>6000000</v>
      </c>
      <c r="F8" s="163"/>
      <c r="G8" s="157" t="s">
        <v>209</v>
      </c>
      <c r="K8" s="176" t="s">
        <v>80</v>
      </c>
      <c r="L8" s="177">
        <v>2</v>
      </c>
      <c r="M8" s="176" t="s">
        <v>220</v>
      </c>
    </row>
    <row r="9" spans="2:13" s="101" customFormat="1" ht="18" customHeight="1" x14ac:dyDescent="0.35">
      <c r="B9" s="155">
        <v>46002</v>
      </c>
      <c r="C9" s="156">
        <f>'11 Des'!K28</f>
        <v>10316530</v>
      </c>
      <c r="D9" s="156">
        <v>0</v>
      </c>
      <c r="E9" s="156">
        <v>6000000</v>
      </c>
      <c r="F9" s="163">
        <v>860000</v>
      </c>
      <c r="G9" s="157" t="s">
        <v>213</v>
      </c>
      <c r="K9" s="176" t="s">
        <v>218</v>
      </c>
      <c r="L9" s="178">
        <v>500000</v>
      </c>
      <c r="M9" s="176"/>
    </row>
    <row r="10" spans="2:13" s="101" customFormat="1" ht="18" customHeight="1" x14ac:dyDescent="0.35">
      <c r="B10" s="155">
        <v>46003</v>
      </c>
      <c r="C10" s="156">
        <f>'12 Des'!K23</f>
        <v>10679135</v>
      </c>
      <c r="D10" s="156">
        <f>'12 Des'!K34</f>
        <v>130000</v>
      </c>
      <c r="E10" s="156">
        <v>6000000</v>
      </c>
      <c r="F10" s="163">
        <v>298000</v>
      </c>
      <c r="G10" s="157" t="s">
        <v>238</v>
      </c>
      <c r="H10" s="101" t="s">
        <v>239</v>
      </c>
      <c r="J10" s="170"/>
      <c r="K10" s="176" t="s">
        <v>219</v>
      </c>
      <c r="L10" s="178">
        <v>400000</v>
      </c>
      <c r="M10" s="176"/>
    </row>
    <row r="11" spans="2:13" s="101" customFormat="1" ht="18" customHeight="1" x14ac:dyDescent="0.35">
      <c r="B11" s="155">
        <v>46004</v>
      </c>
      <c r="C11" s="156">
        <f>'13 Des'!K14</f>
        <v>8432240</v>
      </c>
      <c r="D11" s="156">
        <f>'13 Des'!K28</f>
        <v>842810</v>
      </c>
      <c r="E11" s="156">
        <v>6000000</v>
      </c>
      <c r="F11" s="163"/>
      <c r="G11" s="157" t="s">
        <v>200</v>
      </c>
      <c r="J11" s="170"/>
      <c r="K11" s="176" t="s">
        <v>201</v>
      </c>
      <c r="L11" s="179">
        <v>1500000</v>
      </c>
      <c r="M11" s="176" t="s">
        <v>222</v>
      </c>
    </row>
    <row r="12" spans="2:13" s="101" customFormat="1" ht="18" customHeight="1" x14ac:dyDescent="0.35">
      <c r="B12" s="155">
        <v>46006</v>
      </c>
      <c r="C12" s="156">
        <f>'15 Des'!K29</f>
        <v>17828910</v>
      </c>
      <c r="D12" s="156">
        <f>'15 Des'!K42</f>
        <v>171500</v>
      </c>
      <c r="E12" s="156">
        <v>6000000</v>
      </c>
      <c r="F12" s="163">
        <v>4500000</v>
      </c>
      <c r="G12" s="157" t="s">
        <v>210</v>
      </c>
      <c r="K12" s="176" t="s">
        <v>201</v>
      </c>
      <c r="L12" s="179">
        <v>3000000</v>
      </c>
      <c r="M12" s="176" t="s">
        <v>223</v>
      </c>
    </row>
    <row r="13" spans="2:13" s="101" customFormat="1" ht="18" customHeight="1" x14ac:dyDescent="0.3">
      <c r="B13" s="155">
        <v>46007</v>
      </c>
      <c r="C13" s="156">
        <f>'16 Des'!K24</f>
        <v>18386300</v>
      </c>
      <c r="D13" s="156">
        <f>'16 Des'!K33</f>
        <v>275750</v>
      </c>
      <c r="E13" s="156">
        <v>6000000</v>
      </c>
      <c r="F13" s="163"/>
      <c r="G13" s="157" t="s">
        <v>221</v>
      </c>
      <c r="K13" s="180"/>
      <c r="L13" s="180"/>
      <c r="M13" s="180"/>
    </row>
    <row r="14" spans="2:13" s="101" customFormat="1" ht="18" customHeight="1" x14ac:dyDescent="0.3">
      <c r="B14" s="155">
        <v>46008</v>
      </c>
      <c r="C14" s="156">
        <f>'17 Des'!K27</f>
        <v>18642090</v>
      </c>
      <c r="D14" s="156">
        <f>'17 Des'!K37</f>
        <v>356000</v>
      </c>
      <c r="E14" s="156">
        <v>6000000</v>
      </c>
      <c r="F14" s="163"/>
      <c r="G14" s="158"/>
    </row>
    <row r="15" spans="2:13" s="101" customFormat="1" ht="18" customHeight="1" x14ac:dyDescent="0.3">
      <c r="B15" s="155">
        <v>46009</v>
      </c>
      <c r="C15" s="156">
        <f>'18 Des'!K22</f>
        <v>16087300</v>
      </c>
      <c r="D15" s="156">
        <f>'18 Des'!K31</f>
        <v>63000</v>
      </c>
      <c r="E15" s="156">
        <v>6000000</v>
      </c>
      <c r="F15" s="163"/>
      <c r="G15" s="158"/>
    </row>
    <row r="16" spans="2:13" s="101" customFormat="1" ht="18" customHeight="1" x14ac:dyDescent="0.3">
      <c r="B16" s="155">
        <v>46010</v>
      </c>
      <c r="C16" s="156">
        <f>'19 Des'!K14</f>
        <v>13786000</v>
      </c>
      <c r="D16" s="156">
        <f>'19 Des'!K25</f>
        <v>0</v>
      </c>
      <c r="E16" s="156">
        <v>6000000</v>
      </c>
      <c r="F16" s="163"/>
      <c r="G16" s="158"/>
    </row>
    <row r="17" spans="2:7" s="101" customFormat="1" ht="18" customHeight="1" thickBot="1" x14ac:dyDescent="0.35">
      <c r="B17" s="159">
        <v>46011</v>
      </c>
      <c r="C17" s="160">
        <f>'20 Des'!K14</f>
        <v>13786000</v>
      </c>
      <c r="D17" s="160">
        <f>'20 Des'!K25</f>
        <v>295000</v>
      </c>
      <c r="E17" s="160">
        <v>6000000</v>
      </c>
      <c r="F17" s="164"/>
      <c r="G17" s="161"/>
    </row>
    <row r="18" spans="2:7" s="151" customFormat="1" ht="24" customHeight="1" thickBot="1" x14ac:dyDescent="0.35">
      <c r="B18" s="149"/>
      <c r="C18" s="150">
        <f>SUM(C6:C17)</f>
        <v>161037780</v>
      </c>
      <c r="D18" s="150">
        <f>SUM(D6:D17)</f>
        <v>5930060</v>
      </c>
      <c r="E18" s="150">
        <f>SUM(E6:E17)</f>
        <v>72000000</v>
      </c>
      <c r="F18" s="167">
        <f>SUM(F6:F17)</f>
        <v>52678000</v>
      </c>
    </row>
    <row r="19" spans="2:7" ht="15" thickTop="1" x14ac:dyDescent="0.3">
      <c r="C19" s="145"/>
    </row>
    <row r="20" spans="2:7" x14ac:dyDescent="0.3">
      <c r="C20" s="145"/>
    </row>
    <row r="21" spans="2:7" s="101" customFormat="1" ht="21.6" thickBot="1" x14ac:dyDescent="0.35">
      <c r="B21" s="96"/>
      <c r="C21" s="280"/>
      <c r="D21" s="282">
        <f>SUM(C18:F18)</f>
        <v>291645840</v>
      </c>
      <c r="E21" s="282"/>
    </row>
    <row r="22" spans="2:7" ht="15" thickTop="1" x14ac:dyDescent="0.3">
      <c r="C22" s="145"/>
    </row>
    <row r="23" spans="2:7" ht="15" thickBot="1" x14ac:dyDescent="0.35">
      <c r="C23" s="145"/>
    </row>
    <row r="24" spans="2:7" s="101" customFormat="1" ht="21.6" customHeight="1" thickBot="1" x14ac:dyDescent="0.35">
      <c r="B24" s="277" t="s">
        <v>237</v>
      </c>
      <c r="C24" s="278"/>
      <c r="D24" s="279"/>
    </row>
    <row r="25" spans="2:7" ht="16.2" thickBot="1" x14ac:dyDescent="0.35">
      <c r="B25" s="147" t="s">
        <v>199</v>
      </c>
      <c r="C25" s="148" t="s">
        <v>197</v>
      </c>
      <c r="D25" s="148" t="s">
        <v>198</v>
      </c>
    </row>
    <row r="26" spans="2:7" ht="15.6" x14ac:dyDescent="0.3">
      <c r="B26" s="152">
        <v>45999</v>
      </c>
      <c r="C26" s="156">
        <f>'09 Des'!K46</f>
        <v>0</v>
      </c>
      <c r="D26" s="156">
        <f>'10 Des'!K56</f>
        <v>0</v>
      </c>
    </row>
    <row r="27" spans="2:7" ht="15.6" x14ac:dyDescent="0.3">
      <c r="B27" s="155">
        <v>46000</v>
      </c>
      <c r="C27" s="156">
        <f>'09 Des'!K47</f>
        <v>0</v>
      </c>
      <c r="D27" s="156">
        <f>'09 Des'!K55</f>
        <v>0</v>
      </c>
    </row>
    <row r="28" spans="2:7" ht="15.6" x14ac:dyDescent="0.3">
      <c r="B28" s="155">
        <v>46001</v>
      </c>
      <c r="C28" s="156">
        <f>SUM('10 Des'!K34:K36)</f>
        <v>146000</v>
      </c>
      <c r="D28" s="156">
        <f>SUM('10 Des'!K34:K36)</f>
        <v>146000</v>
      </c>
    </row>
    <row r="29" spans="2:7" ht="15.6" x14ac:dyDescent="0.3">
      <c r="B29" s="155">
        <v>46002</v>
      </c>
      <c r="C29" s="156">
        <f>SUM('11 Des'!K24:K26)</f>
        <v>117500</v>
      </c>
      <c r="D29" s="156">
        <v>0</v>
      </c>
    </row>
    <row r="30" spans="2:7" ht="15.6" x14ac:dyDescent="0.3">
      <c r="B30" s="155">
        <v>46003</v>
      </c>
      <c r="C30" s="156">
        <f>'13 Des'!K33</f>
        <v>0</v>
      </c>
      <c r="D30" s="156">
        <f>SUM('12 Des'!K31:K33)</f>
        <v>130000</v>
      </c>
    </row>
    <row r="31" spans="2:7" ht="15.6" x14ac:dyDescent="0.3">
      <c r="B31" s="155">
        <v>46004</v>
      </c>
      <c r="C31" s="156">
        <f>'13 Des'!K34</f>
        <v>0</v>
      </c>
      <c r="D31" s="156">
        <f>SUM('13 Des'!K27)</f>
        <v>300000</v>
      </c>
    </row>
    <row r="32" spans="2:7" ht="15.6" x14ac:dyDescent="0.3">
      <c r="B32" s="155">
        <v>46006</v>
      </c>
      <c r="C32" s="156">
        <f>SUM('15 Des'!K28)</f>
        <v>25000</v>
      </c>
      <c r="D32" s="156">
        <f>SUM('15 Des'!K38:K40)</f>
        <v>140000</v>
      </c>
    </row>
    <row r="33" spans="2:4" ht="15.6" x14ac:dyDescent="0.3">
      <c r="B33" s="155">
        <v>46007</v>
      </c>
      <c r="C33" s="156">
        <f>SUM('16 Des'!K21:K22)</f>
        <v>766600</v>
      </c>
      <c r="D33" s="156">
        <f>SUM('16 Des'!K32)</f>
        <v>250000</v>
      </c>
    </row>
    <row r="34" spans="2:4" ht="15.6" x14ac:dyDescent="0.3">
      <c r="B34" s="155">
        <v>46008</v>
      </c>
      <c r="C34" s="156">
        <f>'17 Des'!K47</f>
        <v>0</v>
      </c>
      <c r="D34" s="156">
        <f>SUM('17 Des'!K36)</f>
        <v>253000</v>
      </c>
    </row>
    <row r="35" spans="2:4" ht="15.6" x14ac:dyDescent="0.3">
      <c r="B35" s="155">
        <v>46009</v>
      </c>
      <c r="C35" s="156">
        <f>'18 Des'!K42</f>
        <v>0</v>
      </c>
      <c r="D35" s="156">
        <f>SUM('18 Des'!K30)</f>
        <v>63000</v>
      </c>
    </row>
    <row r="36" spans="2:4" ht="15.6" x14ac:dyDescent="0.3">
      <c r="B36" s="155">
        <v>46010</v>
      </c>
      <c r="C36" s="156">
        <f>'19 Des'!K34</f>
        <v>0</v>
      </c>
      <c r="D36" s="156"/>
    </row>
    <row r="37" spans="2:4" ht="16.2" thickBot="1" x14ac:dyDescent="0.35">
      <c r="B37" s="159">
        <v>46011</v>
      </c>
      <c r="C37" s="160">
        <f>'20 Des'!K34</f>
        <v>0</v>
      </c>
      <c r="D37" s="160">
        <f>'20 Des'!K45</f>
        <v>0</v>
      </c>
    </row>
    <row r="38" spans="2:4" s="101" customFormat="1" ht="21" customHeight="1" thickBot="1" x14ac:dyDescent="0.35">
      <c r="B38" s="96"/>
      <c r="C38" s="281">
        <f>SUM(C26:C37)</f>
        <v>1055100</v>
      </c>
      <c r="D38" s="281">
        <f>SUM(D26:D37)</f>
        <v>1282000</v>
      </c>
    </row>
    <row r="39" spans="2:4" ht="15" thickTop="1" x14ac:dyDescent="0.3"/>
  </sheetData>
  <mergeCells count="3">
    <mergeCell ref="D21:E21"/>
    <mergeCell ref="K6:L6"/>
    <mergeCell ref="B24:D24"/>
  </mergeCells>
  <pageMargins left="1.4960629921259843" right="0.70866141732283472" top="0.74803149606299213" bottom="0.74803149606299213" header="0.31496062992125984" footer="0.31496062992125984"/>
  <pageSetup paperSize="9" scale="64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08 Des</vt:lpstr>
      <vt:lpstr>09 Des</vt:lpstr>
      <vt:lpstr>10 Des</vt:lpstr>
      <vt:lpstr>11 Des</vt:lpstr>
      <vt:lpstr>12 Des</vt:lpstr>
      <vt:lpstr>13 Des</vt:lpstr>
      <vt:lpstr>15 Des</vt:lpstr>
      <vt:lpstr>16 Des</vt:lpstr>
      <vt:lpstr>17 Des</vt:lpstr>
      <vt:lpstr>18 Des</vt:lpstr>
      <vt:lpstr>19 Des</vt:lpstr>
      <vt:lpstr>20 Des</vt:lpstr>
      <vt:lpstr>SUMMARY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Aio</dc:creator>
  <cp:lastModifiedBy>LENOVO IP 3</cp:lastModifiedBy>
  <cp:lastPrinted>2025-12-18T10:16:01Z</cp:lastPrinted>
  <dcterms:created xsi:type="dcterms:W3CDTF">2025-12-18T06:34:17Z</dcterms:created>
  <dcterms:modified xsi:type="dcterms:W3CDTF">2025-12-20T09:27:58Z</dcterms:modified>
</cp:coreProperties>
</file>