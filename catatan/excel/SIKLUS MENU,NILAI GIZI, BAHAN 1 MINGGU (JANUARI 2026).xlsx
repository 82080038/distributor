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ocuments\"/>
    </mc:Choice>
  </mc:AlternateContent>
  <xr:revisionPtr revIDLastSave="0" documentId="13_ncr:1_{017758AE-9F5F-4470-B3AB-889EE276D240}" xr6:coauthVersionLast="47" xr6:coauthVersionMax="47" xr10:uidLastSave="{00000000-0000-0000-0000-000000000000}"/>
  <bookViews>
    <workbookView xWindow="-120" yWindow="-120" windowWidth="20730" windowHeight="11160" activeTab="5" xr2:uid="{96971CEA-698B-458B-BD38-0BE7E0D390BD}"/>
  </bookViews>
  <sheets>
    <sheet name="HARI 1 KHAS DAERAH" sheetId="1" r:id="rId1"/>
    <sheet name="HARI 2" sheetId="2" r:id="rId2"/>
    <sheet name="HARI 3" sheetId="3" r:id="rId3"/>
    <sheet name="HARI 4" sheetId="4" r:id="rId4"/>
    <sheet name="HARI 5" sheetId="5" r:id="rId5"/>
    <sheet name="HARI 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J14" i="1"/>
  <c r="I14" i="1"/>
  <c r="H14" i="1"/>
  <c r="G14" i="1"/>
  <c r="F14" i="1"/>
  <c r="J25" i="4"/>
  <c r="I25" i="4"/>
  <c r="H25" i="4"/>
  <c r="G25" i="4"/>
  <c r="F25" i="4"/>
  <c r="J15" i="4"/>
  <c r="I15" i="4"/>
  <c r="H15" i="4"/>
  <c r="G15" i="4"/>
  <c r="F15" i="4"/>
  <c r="J25" i="3"/>
  <c r="I25" i="3"/>
  <c r="H25" i="3"/>
  <c r="G25" i="3"/>
  <c r="F25" i="3"/>
  <c r="J15" i="3"/>
  <c r="I15" i="3"/>
  <c r="H15" i="3"/>
  <c r="G15" i="3"/>
  <c r="F15" i="3"/>
</calcChain>
</file>

<file path=xl/sharedStrings.xml><?xml version="1.0" encoding="utf-8"?>
<sst xmlns="http://schemas.openxmlformats.org/spreadsheetml/2006/main" count="639" uniqueCount="202">
  <si>
    <t>SIKLUS MENU 12 HARI JANUARI 2026</t>
  </si>
  <si>
    <t xml:space="preserve"> untuk PM=2316</t>
  </si>
  <si>
    <t>HARI 1</t>
  </si>
  <si>
    <r>
      <t xml:space="preserve">                            </t>
    </r>
    <r>
      <rPr>
        <b/>
        <sz val="11"/>
        <color rgb="FFFF0000"/>
        <rFont val="Times New Roman"/>
        <family val="1"/>
      </rPr>
      <t xml:space="preserve"> NILAI GIZI </t>
    </r>
  </si>
  <si>
    <r>
      <t xml:space="preserve">                            </t>
    </r>
    <r>
      <rPr>
        <b/>
        <sz val="11"/>
        <color rgb="FFFF0000"/>
        <rFont val="Times New Roman"/>
        <family val="1"/>
      </rPr>
      <t xml:space="preserve"> BAHAN MAKANAN</t>
    </r>
  </si>
  <si>
    <t>Nasi Putih</t>
  </si>
  <si>
    <t>Porsi Kecil (TK,PAUD,SD KELAS 1-3)</t>
  </si>
  <si>
    <t>NO</t>
  </si>
  <si>
    <t>URAIAN</t>
  </si>
  <si>
    <t>QTY</t>
  </si>
  <si>
    <t>SATUAN</t>
  </si>
  <si>
    <t>Ikan Nila Natinombur</t>
  </si>
  <si>
    <t>Bahan Makanan</t>
  </si>
  <si>
    <t>Berat (gr)</t>
  </si>
  <si>
    <t>Energi (kkal)</t>
  </si>
  <si>
    <t>Protein (gr)</t>
  </si>
  <si>
    <t>Lemak (gr)</t>
  </si>
  <si>
    <t>Karbohidrat (gr)</t>
  </si>
  <si>
    <t>Serat  (gr)</t>
  </si>
  <si>
    <t>Beras</t>
  </si>
  <si>
    <t>Kg</t>
  </si>
  <si>
    <t>Tempe Crispy</t>
  </si>
  <si>
    <t>Nasi</t>
  </si>
  <si>
    <t>BAHAN IKAN NILA NATINOMBUR</t>
  </si>
  <si>
    <t>Tumis Pakcoy Bawang Putih</t>
  </si>
  <si>
    <t>Nila</t>
  </si>
  <si>
    <t>Ikan Nila</t>
  </si>
  <si>
    <t>kg</t>
  </si>
  <si>
    <t xml:space="preserve">Tempe </t>
  </si>
  <si>
    <t>Garam Kasar</t>
  </si>
  <si>
    <t>PAK</t>
  </si>
  <si>
    <t xml:space="preserve"> Pakcoy </t>
  </si>
  <si>
    <t>Jeruk Nipis</t>
  </si>
  <si>
    <t>Minyak</t>
  </si>
  <si>
    <t>bawang merah</t>
  </si>
  <si>
    <t>Total</t>
  </si>
  <si>
    <t>bawang putih</t>
  </si>
  <si>
    <t>cabe rawit hijau</t>
  </si>
  <si>
    <t>cabe rawit merah</t>
  </si>
  <si>
    <t>cabe merah</t>
  </si>
  <si>
    <t>Porsi Besar (Sd Kelas 4-6, SMP,SMA)</t>
  </si>
  <si>
    <t>jahe</t>
  </si>
  <si>
    <t>Serat</t>
  </si>
  <si>
    <t>kemiri</t>
  </si>
  <si>
    <t>Tomat</t>
  </si>
  <si>
    <t>batang rias</t>
  </si>
  <si>
    <t>andaliman</t>
  </si>
  <si>
    <t>garam halus</t>
  </si>
  <si>
    <t>bungkus</t>
  </si>
  <si>
    <t>gula pasir</t>
  </si>
  <si>
    <t xml:space="preserve">BAHAN TEMPE CRISPY </t>
  </si>
  <si>
    <t>Tempe</t>
  </si>
  <si>
    <t>papan</t>
  </si>
  <si>
    <t>Tepung Terigu</t>
  </si>
  <si>
    <t>Kunyit Bubuk</t>
  </si>
  <si>
    <t>Renceng</t>
  </si>
  <si>
    <t>12 sachet</t>
  </si>
  <si>
    <t>Ketumbar bubuk</t>
  </si>
  <si>
    <t>BAHAN TUMIS PAKCOY BAWANG PUTIH</t>
  </si>
  <si>
    <t>Pakcoy</t>
  </si>
  <si>
    <t>Bawang Putih</t>
  </si>
  <si>
    <t>Saus Tiram</t>
  </si>
  <si>
    <t>botol</t>
  </si>
  <si>
    <t>Masi Ada</t>
  </si>
  <si>
    <t>lada</t>
  </si>
  <si>
    <t>tepung Maizena</t>
  </si>
  <si>
    <t>BUAH</t>
  </si>
  <si>
    <t>HARI 3</t>
  </si>
  <si>
    <t>Nasi Daun Jeruk</t>
  </si>
  <si>
    <t>BAHAN NASI DAUN JERUK</t>
  </si>
  <si>
    <t>Telur Ceplok Pedas Manis</t>
  </si>
  <si>
    <t>Tahu Krispy</t>
  </si>
  <si>
    <t xml:space="preserve">Nasi </t>
  </si>
  <si>
    <t>Daun Jeruk</t>
  </si>
  <si>
    <t xml:space="preserve">Tumis Kangkung </t>
  </si>
  <si>
    <t xml:space="preserve">Telur </t>
  </si>
  <si>
    <t>serai</t>
  </si>
  <si>
    <t>Buah Jeruk</t>
  </si>
  <si>
    <t>bawang putih bubuk</t>
  </si>
  <si>
    <t xml:space="preserve">Kangkung </t>
  </si>
  <si>
    <t>garam</t>
  </si>
  <si>
    <t>Jeruk</t>
  </si>
  <si>
    <t>BAHAN TELUR CEPLOK PEDAS MANIS</t>
  </si>
  <si>
    <t>Telur</t>
  </si>
  <si>
    <t>PAPAN</t>
  </si>
  <si>
    <t>1 PAPAN ISI 30</t>
  </si>
  <si>
    <t>bawang ptih</t>
  </si>
  <si>
    <t>cabe rawit</t>
  </si>
  <si>
    <t xml:space="preserve">             (gr)</t>
  </si>
  <si>
    <t>daun bawang</t>
  </si>
  <si>
    <t>kecap manis</t>
  </si>
  <si>
    <t>pcs</t>
  </si>
  <si>
    <t>ukuran 700 gram</t>
  </si>
  <si>
    <t>saus tiram</t>
  </si>
  <si>
    <t>masih ada</t>
  </si>
  <si>
    <t>kaldu bubuk</t>
  </si>
  <si>
    <t>ukuran 250 gram</t>
  </si>
  <si>
    <t>minyak</t>
  </si>
  <si>
    <t>BAHAN TAHU CRISPY</t>
  </si>
  <si>
    <t>Tahu</t>
  </si>
  <si>
    <t>1 papan 144 potong</t>
  </si>
  <si>
    <t>BAHAN TUMIS KANGKUNG</t>
  </si>
  <si>
    <t>Kangkung</t>
  </si>
  <si>
    <t>terasi</t>
  </si>
  <si>
    <t xml:space="preserve">cabe merah </t>
  </si>
  <si>
    <t>saos tiram</t>
  </si>
  <si>
    <t>jeruk</t>
  </si>
  <si>
    <t>HARI 2</t>
  </si>
  <si>
    <t>beras</t>
  </si>
  <si>
    <t>Ayam Rendang</t>
  </si>
  <si>
    <t>BAHAN AYAM RENDANG</t>
  </si>
  <si>
    <t>Tempe Orek Kecap</t>
  </si>
  <si>
    <t>ayam</t>
  </si>
  <si>
    <t>Tumis Labu Siam</t>
  </si>
  <si>
    <t xml:space="preserve">Ayam </t>
  </si>
  <si>
    <t>Buah Semangka</t>
  </si>
  <si>
    <t>daun salam</t>
  </si>
  <si>
    <t>Labu Siam</t>
  </si>
  <si>
    <t>bumbu racik rendang</t>
  </si>
  <si>
    <t>daun kunyit</t>
  </si>
  <si>
    <t xml:space="preserve">lengkuas </t>
  </si>
  <si>
    <t>santan kental</t>
  </si>
  <si>
    <t>sachet</t>
  </si>
  <si>
    <t>ukuran 65 mill</t>
  </si>
  <si>
    <t>garam kasar</t>
  </si>
  <si>
    <t>kunyit</t>
  </si>
  <si>
    <t>BAHAN TEMPE OREK KECAP</t>
  </si>
  <si>
    <t>lengkuas</t>
  </si>
  <si>
    <t>BAHAN TUMIS LABU SIAM</t>
  </si>
  <si>
    <t xml:space="preserve">BUAH </t>
  </si>
  <si>
    <t>semangka</t>
  </si>
  <si>
    <t>HARI 4</t>
  </si>
  <si>
    <t>Ikan Nila Sambal Hijau</t>
  </si>
  <si>
    <t>BAHAN IKAN NILA SAMBAL HIJAU</t>
  </si>
  <si>
    <t>ikan nila</t>
  </si>
  <si>
    <t>Tumis Sawi Putih</t>
  </si>
  <si>
    <t xml:space="preserve">Ikan Nila </t>
  </si>
  <si>
    <t>Buah salak</t>
  </si>
  <si>
    <t xml:space="preserve"> Sawi Putih</t>
  </si>
  <si>
    <t>salak</t>
  </si>
  <si>
    <t>cabe hijau</t>
  </si>
  <si>
    <t>Tomat hijau</t>
  </si>
  <si>
    <t>gula</t>
  </si>
  <si>
    <t>garam Kasar</t>
  </si>
  <si>
    <t>renteng</t>
  </si>
  <si>
    <t>daun jeruk</t>
  </si>
  <si>
    <t>tahu</t>
  </si>
  <si>
    <t>BAHAN TAHU KRISPY</t>
  </si>
  <si>
    <t>BAHAN TUMIS SAWI PUTIH</t>
  </si>
  <si>
    <t>sawi putih</t>
  </si>
  <si>
    <t>HARI 5</t>
  </si>
  <si>
    <t>Chiken Steak</t>
  </si>
  <si>
    <t>BAHAN CHIKEN STEAK &amp; POTATO WEDGES</t>
  </si>
  <si>
    <t>Potato Wedges</t>
  </si>
  <si>
    <t>ayam filet</t>
  </si>
  <si>
    <t>Mix Vegetable</t>
  </si>
  <si>
    <t>Ayam</t>
  </si>
  <si>
    <t>Duku</t>
  </si>
  <si>
    <t>Kentang</t>
  </si>
  <si>
    <t>tepung maizena</t>
  </si>
  <si>
    <t>Buncis</t>
  </si>
  <si>
    <t>tepung terigu</t>
  </si>
  <si>
    <t>Jagung</t>
  </si>
  <si>
    <t>kecap asin</t>
  </si>
  <si>
    <t>Wortel</t>
  </si>
  <si>
    <t>bawang bombai</t>
  </si>
  <si>
    <t>mentega</t>
  </si>
  <si>
    <t>saus tomat</t>
  </si>
  <si>
    <t>lada bubuk</t>
  </si>
  <si>
    <t>kentang</t>
  </si>
  <si>
    <t xml:space="preserve">BAHAN MIX VEGETABLE </t>
  </si>
  <si>
    <t>jagung</t>
  </si>
  <si>
    <t>wortel</t>
  </si>
  <si>
    <t>buncis</t>
  </si>
  <si>
    <t>duku</t>
  </si>
  <si>
    <t>HARI 6</t>
  </si>
  <si>
    <t>Roti</t>
  </si>
  <si>
    <t>Telur Rebus</t>
  </si>
  <si>
    <t>Dus</t>
  </si>
  <si>
    <t xml:space="preserve">Susu Uht </t>
  </si>
  <si>
    <t>pisang</t>
  </si>
  <si>
    <t>susu uht 115 mill</t>
  </si>
  <si>
    <t>Susu Uht  115 mill</t>
  </si>
  <si>
    <t>susu uht 125 mill</t>
  </si>
  <si>
    <t>Susu Uht  125 mill</t>
  </si>
  <si>
    <t>UKURAN I KG 3 EKOR POTONG 3</t>
  </si>
  <si>
    <t>1 KG POTONG 10</t>
  </si>
  <si>
    <t>Sisir</t>
  </si>
  <si>
    <t>Melon</t>
  </si>
  <si>
    <t>Buah Melon</t>
  </si>
  <si>
    <t>tambahan : timun 3kg, tomat 1 kg</t>
  </si>
  <si>
    <t xml:space="preserve">melon </t>
  </si>
  <si>
    <t>sisa lama 7+3=10 (sisa 4 kg)</t>
  </si>
  <si>
    <t xml:space="preserve">sisa 2 kg </t>
  </si>
  <si>
    <t>ukuran 133 mill ( di ganti jadi 2 liter)</t>
  </si>
  <si>
    <t>lebih 1 pak  dan 4 bungkus</t>
  </si>
  <si>
    <t>(yang datang 50 kotak ukuran 500 gram</t>
  </si>
  <si>
    <t>sisa 1 bungkus</t>
  </si>
  <si>
    <t xml:space="preserve"> sisa 5 kg</t>
  </si>
  <si>
    <t>sisa  1,2 kg</t>
  </si>
  <si>
    <t>liter</t>
  </si>
  <si>
    <t>renceng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</si>
</sst>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i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Times New Roman"/>
      <family val="1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59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1" xfId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" fillId="0" borderId="0" xfId="0" applyFont="1"/>
    <xf numFmtId="0" fontId="7" fillId="0" borderId="0" xfId="0" applyFont="1"/>
    <xf numFmtId="0" fontId="9" fillId="5" borderId="1" xfId="0" applyFont="1" applyFill="1" applyBorder="1" applyAlignment="1">
      <alignment horizontal="center"/>
    </xf>
    <xf numFmtId="0" fontId="10" fillId="5" borderId="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1"/>
    <xf numFmtId="0" fontId="11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6" xfId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10" fillId="5" borderId="5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1" applyBorder="1"/>
    <xf numFmtId="0" fontId="12" fillId="0" borderId="1" xfId="0" applyFont="1" applyBorder="1" applyAlignment="1">
      <alignment horizontal="center"/>
    </xf>
    <xf numFmtId="0" fontId="1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9" fillId="0" borderId="0" xfId="0" applyFont="1"/>
    <xf numFmtId="0" fontId="0" fillId="0" borderId="5" xfId="0" applyBorder="1" applyAlignment="1">
      <alignment horizontal="center"/>
    </xf>
    <xf numFmtId="0" fontId="7" fillId="0" borderId="5" xfId="0" applyFont="1" applyBorder="1"/>
    <xf numFmtId="0" fontId="0" fillId="0" borderId="6" xfId="0" applyBorder="1" applyAlignment="1">
      <alignment horizontal="center"/>
    </xf>
    <xf numFmtId="0" fontId="9" fillId="5" borderId="7" xfId="0" applyFont="1" applyFill="1" applyBorder="1"/>
    <xf numFmtId="0" fontId="10" fillId="5" borderId="0" xfId="1" applyFont="1" applyFill="1" applyAlignment="1">
      <alignment horizontal="center"/>
    </xf>
    <xf numFmtId="0" fontId="4" fillId="4" borderId="9" xfId="0" applyFont="1" applyFill="1" applyBorder="1" applyAlignment="1">
      <alignment vertical="center" wrapText="1"/>
    </xf>
    <xf numFmtId="0" fontId="6" fillId="0" borderId="5" xfId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7" xfId="1" applyBorder="1" applyAlignment="1">
      <alignment horizontal="center"/>
    </xf>
    <xf numFmtId="0" fontId="9" fillId="5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3" fillId="0" borderId="0" xfId="0" applyFont="1" applyAlignment="1">
      <alignment horizontal="center"/>
    </xf>
    <xf numFmtId="0" fontId="6" fillId="5" borderId="1" xfId="1" applyFill="1" applyBorder="1" applyAlignment="1">
      <alignment horizontal="center"/>
    </xf>
    <xf numFmtId="0" fontId="0" fillId="0" borderId="6" xfId="0" applyBorder="1"/>
    <xf numFmtId="3" fontId="0" fillId="0" borderId="1" xfId="0" applyNumberFormat="1" applyBorder="1" applyAlignment="1">
      <alignment horizontal="center"/>
    </xf>
    <xf numFmtId="0" fontId="8" fillId="0" borderId="0" xfId="0" applyFont="1"/>
    <xf numFmtId="0" fontId="6" fillId="5" borderId="0" xfId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4" fillId="0" borderId="0" xfId="0" applyFont="1"/>
  </cellXfs>
  <cellStyles count="2">
    <cellStyle name="Normal" xfId="0" builtinId="0"/>
    <cellStyle name="Normal 2" xfId="1" xr:uid="{83D3BB01-DA2D-43E6-9741-324BEB97B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074D-3027-4F66-B027-EAEDFCADEC0A}">
  <dimension ref="B3:P42"/>
  <sheetViews>
    <sheetView topLeftCell="A11" zoomScale="75" zoomScaleNormal="75" workbookViewId="0">
      <selection activeCell="N9" sqref="N9:P9"/>
    </sheetView>
  </sheetViews>
  <sheetFormatPr defaultRowHeight="15" x14ac:dyDescent="0.25"/>
  <cols>
    <col min="2" max="2" width="26.140625" customWidth="1"/>
    <col min="4" max="4" width="13.5703125" customWidth="1"/>
    <col min="9" max="9" width="13.85546875" customWidth="1"/>
    <col min="13" max="13" width="35.5703125" customWidth="1"/>
    <col min="16" max="16" width="38.85546875" customWidth="1"/>
  </cols>
  <sheetData>
    <row r="3" spans="2:16" x14ac:dyDescent="0.25">
      <c r="B3" s="54" t="s">
        <v>0</v>
      </c>
      <c r="C3" s="54"/>
      <c r="D3" s="54"/>
      <c r="E3" s="54"/>
      <c r="F3" s="54"/>
      <c r="G3" s="54"/>
      <c r="H3" s="54"/>
    </row>
    <row r="4" spans="2:16" x14ac:dyDescent="0.25">
      <c r="B4" s="55" t="s">
        <v>1</v>
      </c>
      <c r="C4" s="54"/>
      <c r="D4" s="54"/>
      <c r="E4" s="54"/>
      <c r="F4" s="54"/>
      <c r="G4" s="54"/>
      <c r="H4" s="54"/>
    </row>
    <row r="5" spans="2:16" x14ac:dyDescent="0.25">
      <c r="B5" s="1" t="s">
        <v>2</v>
      </c>
      <c r="D5" s="2" t="s">
        <v>3</v>
      </c>
      <c r="L5" s="2" t="s">
        <v>4</v>
      </c>
    </row>
    <row r="6" spans="2:16" ht="15.75" thickBot="1" x14ac:dyDescent="0.3">
      <c r="B6" t="s">
        <v>5</v>
      </c>
      <c r="D6" s="2" t="s">
        <v>6</v>
      </c>
      <c r="L6" s="3" t="s">
        <v>7</v>
      </c>
      <c r="M6" s="3" t="s">
        <v>8</v>
      </c>
      <c r="N6" s="3" t="s">
        <v>9</v>
      </c>
      <c r="O6" s="3" t="s">
        <v>10</v>
      </c>
    </row>
    <row r="7" spans="2:16" ht="42.75" x14ac:dyDescent="0.25">
      <c r="B7" t="s">
        <v>11</v>
      </c>
      <c r="D7" s="4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6" t="s">
        <v>17</v>
      </c>
      <c r="J7" s="7" t="s">
        <v>18</v>
      </c>
      <c r="L7" s="8">
        <v>1</v>
      </c>
      <c r="M7" s="9" t="s">
        <v>19</v>
      </c>
      <c r="N7" s="10">
        <v>130</v>
      </c>
      <c r="O7" s="10" t="s">
        <v>20</v>
      </c>
    </row>
    <row r="8" spans="2:16" ht="15.75" x14ac:dyDescent="0.25">
      <c r="B8" t="s">
        <v>21</v>
      </c>
      <c r="D8" s="10" t="s">
        <v>22</v>
      </c>
      <c r="E8" s="10">
        <v>100</v>
      </c>
      <c r="F8" s="11">
        <v>180</v>
      </c>
      <c r="G8" s="11">
        <v>3</v>
      </c>
      <c r="H8" s="11">
        <v>0.3</v>
      </c>
      <c r="I8" s="11">
        <v>39.799999999999997</v>
      </c>
      <c r="J8" s="11">
        <v>0</v>
      </c>
      <c r="L8" s="8"/>
      <c r="M8" s="12" t="s">
        <v>23</v>
      </c>
      <c r="N8" s="10"/>
      <c r="O8" s="10"/>
    </row>
    <row r="9" spans="2:16" ht="15.75" x14ac:dyDescent="0.25">
      <c r="B9" t="s">
        <v>24</v>
      </c>
      <c r="D9" s="10" t="s">
        <v>25</v>
      </c>
      <c r="E9" s="10">
        <v>40</v>
      </c>
      <c r="F9" s="11">
        <v>38.4</v>
      </c>
      <c r="G9" s="11">
        <v>8.0299999999999994</v>
      </c>
      <c r="H9" s="11">
        <v>0.68</v>
      </c>
      <c r="I9" s="11">
        <v>0</v>
      </c>
      <c r="J9" s="11">
        <v>0</v>
      </c>
      <c r="L9" s="8">
        <v>2</v>
      </c>
      <c r="M9" s="9" t="s">
        <v>26</v>
      </c>
      <c r="N9" s="13">
        <v>260</v>
      </c>
      <c r="O9" s="13" t="s">
        <v>27</v>
      </c>
      <c r="P9" s="14" t="s">
        <v>185</v>
      </c>
    </row>
    <row r="10" spans="2:16" ht="15.75" x14ac:dyDescent="0.25">
      <c r="B10" t="s">
        <v>189</v>
      </c>
      <c r="D10" s="10" t="s">
        <v>28</v>
      </c>
      <c r="E10" s="10">
        <v>12.5</v>
      </c>
      <c r="F10" s="11">
        <v>25.13</v>
      </c>
      <c r="G10" s="11">
        <v>2.6</v>
      </c>
      <c r="H10" s="11">
        <v>1.1000000000000001</v>
      </c>
      <c r="I10" s="11">
        <v>1.69</v>
      </c>
      <c r="J10" s="11">
        <v>0.17</v>
      </c>
      <c r="L10" s="8">
        <v>3</v>
      </c>
      <c r="M10" s="9" t="s">
        <v>29</v>
      </c>
      <c r="N10" s="10">
        <v>3</v>
      </c>
      <c r="O10" s="10" t="s">
        <v>30</v>
      </c>
      <c r="P10" s="14" t="s">
        <v>195</v>
      </c>
    </row>
    <row r="11" spans="2:16" ht="15.75" x14ac:dyDescent="0.25">
      <c r="D11" s="10" t="s">
        <v>31</v>
      </c>
      <c r="E11" s="10">
        <v>50</v>
      </c>
      <c r="F11" s="11">
        <v>12.5</v>
      </c>
      <c r="G11" s="11">
        <v>0.5</v>
      </c>
      <c r="H11" s="11">
        <v>0</v>
      </c>
      <c r="I11" s="11">
        <v>2.5</v>
      </c>
      <c r="J11" s="11">
        <v>0</v>
      </c>
      <c r="L11" s="8">
        <v>4</v>
      </c>
      <c r="M11" s="9" t="s">
        <v>32</v>
      </c>
      <c r="N11" s="10">
        <v>10</v>
      </c>
      <c r="O11" s="10" t="s">
        <v>27</v>
      </c>
      <c r="P11" s="14" t="s">
        <v>198</v>
      </c>
    </row>
    <row r="12" spans="2:16" ht="15.75" x14ac:dyDescent="0.25">
      <c r="D12" s="10" t="s">
        <v>188</v>
      </c>
      <c r="E12" s="22">
        <v>190</v>
      </c>
      <c r="F12" s="11">
        <v>70.3</v>
      </c>
      <c r="G12" s="11">
        <v>1.1399999999999999</v>
      </c>
      <c r="H12" s="11">
        <v>0.76</v>
      </c>
      <c r="I12" s="11">
        <v>14.82</v>
      </c>
      <c r="J12" s="11">
        <v>1.9</v>
      </c>
      <c r="L12" s="8">
        <v>5</v>
      </c>
      <c r="M12" s="9" t="s">
        <v>33</v>
      </c>
      <c r="N12" s="10">
        <v>65</v>
      </c>
      <c r="O12" s="10" t="s">
        <v>27</v>
      </c>
      <c r="P12" s="15"/>
    </row>
    <row r="13" spans="2:16" ht="15.75" x14ac:dyDescent="0.25">
      <c r="D13" s="10" t="s">
        <v>33</v>
      </c>
      <c r="E13" s="10">
        <v>5</v>
      </c>
      <c r="F13" s="11">
        <v>44.2</v>
      </c>
      <c r="G13" s="11">
        <v>0</v>
      </c>
      <c r="H13" s="11">
        <v>5</v>
      </c>
      <c r="I13" s="11">
        <v>0</v>
      </c>
      <c r="J13" s="11">
        <v>0</v>
      </c>
      <c r="L13" s="8">
        <v>6</v>
      </c>
      <c r="M13" s="9" t="s">
        <v>34</v>
      </c>
      <c r="N13" s="10">
        <v>6</v>
      </c>
      <c r="O13" s="10" t="s">
        <v>27</v>
      </c>
    </row>
    <row r="14" spans="2:16" ht="15.75" x14ac:dyDescent="0.25">
      <c r="D14" s="16" t="s">
        <v>35</v>
      </c>
      <c r="E14" s="16"/>
      <c r="F14" s="17">
        <f>F8+F9+F10+F11+F12+F13</f>
        <v>370.53</v>
      </c>
      <c r="G14" s="17">
        <f>G8+G9+G10+G11+G12+G13</f>
        <v>15.27</v>
      </c>
      <c r="H14" s="17">
        <f>H8+H9+H10+H11+H12+H13</f>
        <v>7.84</v>
      </c>
      <c r="I14" s="17">
        <f>I8+I9+I10+I11+I12+I13</f>
        <v>58.809999999999995</v>
      </c>
      <c r="J14" s="17">
        <f>J8+J9+J10+J11+J12+J13</f>
        <v>2.0699999999999998</v>
      </c>
      <c r="L14" s="10">
        <v>7</v>
      </c>
      <c r="M14" s="9" t="s">
        <v>36</v>
      </c>
      <c r="N14" s="10">
        <v>4</v>
      </c>
      <c r="O14" s="10" t="s">
        <v>27</v>
      </c>
      <c r="P14" s="15" t="s">
        <v>199</v>
      </c>
    </row>
    <row r="15" spans="2:16" ht="15.75" x14ac:dyDescent="0.25">
      <c r="D15" s="18"/>
      <c r="E15" s="18"/>
      <c r="F15" s="19"/>
      <c r="G15" s="19"/>
      <c r="H15" s="19"/>
      <c r="I15" s="19"/>
      <c r="J15" s="19"/>
      <c r="L15" s="10">
        <v>8</v>
      </c>
      <c r="M15" s="9" t="s">
        <v>37</v>
      </c>
      <c r="N15" s="10">
        <v>1</v>
      </c>
      <c r="O15" s="10" t="s">
        <v>27</v>
      </c>
      <c r="P15" s="15"/>
    </row>
    <row r="16" spans="2:16" ht="15.75" x14ac:dyDescent="0.25">
      <c r="D16" s="18"/>
      <c r="E16" s="18"/>
      <c r="F16" s="19"/>
      <c r="G16" s="19"/>
      <c r="H16" s="19"/>
      <c r="I16" s="19"/>
      <c r="J16" s="19"/>
      <c r="L16" s="10">
        <v>9</v>
      </c>
      <c r="M16" s="9" t="s">
        <v>38</v>
      </c>
      <c r="N16" s="10">
        <v>1</v>
      </c>
      <c r="O16" s="10" t="s">
        <v>27</v>
      </c>
      <c r="P16" s="15"/>
    </row>
    <row r="17" spans="4:16" x14ac:dyDescent="0.25">
      <c r="L17" s="10">
        <v>10</v>
      </c>
      <c r="M17" s="9" t="s">
        <v>39</v>
      </c>
      <c r="N17" s="10">
        <v>8</v>
      </c>
      <c r="O17" s="10" t="s">
        <v>27</v>
      </c>
    </row>
    <row r="18" spans="4:16" ht="16.5" thickBot="1" x14ac:dyDescent="0.3">
      <c r="D18" s="20" t="s">
        <v>40</v>
      </c>
      <c r="L18" s="21">
        <v>11</v>
      </c>
      <c r="M18" s="9" t="s">
        <v>41</v>
      </c>
      <c r="N18" s="10">
        <v>1</v>
      </c>
      <c r="O18" s="10" t="s">
        <v>27</v>
      </c>
    </row>
    <row r="19" spans="4:16" ht="42.75" x14ac:dyDescent="0.25">
      <c r="D19" s="4" t="s">
        <v>12</v>
      </c>
      <c r="E19" s="4" t="s">
        <v>13</v>
      </c>
      <c r="F19" s="4" t="s">
        <v>14</v>
      </c>
      <c r="G19" s="4" t="s">
        <v>15</v>
      </c>
      <c r="H19" s="4" t="s">
        <v>16</v>
      </c>
      <c r="I19" s="4" t="s">
        <v>17</v>
      </c>
      <c r="J19" s="5" t="s">
        <v>42</v>
      </c>
      <c r="L19" s="21">
        <v>12</v>
      </c>
      <c r="M19" s="9" t="s">
        <v>43</v>
      </c>
      <c r="N19" s="10">
        <v>3</v>
      </c>
      <c r="O19" s="10" t="s">
        <v>27</v>
      </c>
      <c r="P19" s="14" t="s">
        <v>192</v>
      </c>
    </row>
    <row r="20" spans="4:16" ht="15.75" x14ac:dyDescent="0.25">
      <c r="D20" s="10" t="s">
        <v>22</v>
      </c>
      <c r="E20" s="22">
        <v>200</v>
      </c>
      <c r="F20" s="11">
        <v>360</v>
      </c>
      <c r="G20" s="11">
        <v>6</v>
      </c>
      <c r="H20" s="11">
        <v>0.6</v>
      </c>
      <c r="I20" s="11">
        <v>79.599999999999994</v>
      </c>
      <c r="J20" s="11">
        <v>0</v>
      </c>
      <c r="L20" s="21">
        <v>13</v>
      </c>
      <c r="M20" s="9" t="s">
        <v>44</v>
      </c>
      <c r="N20" s="10">
        <v>35</v>
      </c>
      <c r="O20" s="10" t="s">
        <v>27</v>
      </c>
    </row>
    <row r="21" spans="4:16" ht="15.75" x14ac:dyDescent="0.25">
      <c r="D21" s="10" t="s">
        <v>25</v>
      </c>
      <c r="E21" s="22">
        <v>60</v>
      </c>
      <c r="F21" s="11">
        <v>57.6</v>
      </c>
      <c r="G21" s="11">
        <v>12.05</v>
      </c>
      <c r="H21" s="11">
        <v>1.02</v>
      </c>
      <c r="I21" s="11">
        <v>0</v>
      </c>
      <c r="J21" s="11">
        <v>0</v>
      </c>
      <c r="L21" s="21">
        <v>14</v>
      </c>
      <c r="M21" s="9" t="s">
        <v>45</v>
      </c>
      <c r="N21" s="10">
        <v>10</v>
      </c>
      <c r="O21" s="10" t="s">
        <v>27</v>
      </c>
    </row>
    <row r="22" spans="4:16" ht="15.75" x14ac:dyDescent="0.25">
      <c r="D22" s="10" t="s">
        <v>28</v>
      </c>
      <c r="E22" s="22">
        <v>25</v>
      </c>
      <c r="F22" s="11">
        <v>50.25</v>
      </c>
      <c r="G22" s="11">
        <v>5.2</v>
      </c>
      <c r="H22" s="11">
        <v>2.2000000000000002</v>
      </c>
      <c r="I22" s="11">
        <v>3.38</v>
      </c>
      <c r="J22" s="11">
        <v>0.35</v>
      </c>
      <c r="L22" s="21">
        <v>15</v>
      </c>
      <c r="M22" s="9" t="s">
        <v>46</v>
      </c>
      <c r="N22" s="10">
        <v>1</v>
      </c>
      <c r="O22" s="10" t="s">
        <v>27</v>
      </c>
    </row>
    <row r="23" spans="4:16" ht="15.75" x14ac:dyDescent="0.25">
      <c r="D23" s="10" t="s">
        <v>31</v>
      </c>
      <c r="E23" s="22">
        <v>50</v>
      </c>
      <c r="F23" s="11">
        <v>12.5</v>
      </c>
      <c r="G23" s="11">
        <v>0.5</v>
      </c>
      <c r="H23" s="11">
        <v>0</v>
      </c>
      <c r="I23" s="11">
        <v>2.5</v>
      </c>
      <c r="J23" s="11">
        <v>0</v>
      </c>
      <c r="L23" s="21">
        <v>16</v>
      </c>
      <c r="M23" s="9" t="s">
        <v>47</v>
      </c>
      <c r="N23" s="10">
        <v>5</v>
      </c>
      <c r="O23" s="10" t="s">
        <v>48</v>
      </c>
      <c r="P23" s="14" t="s">
        <v>197</v>
      </c>
    </row>
    <row r="24" spans="4:16" ht="15.75" x14ac:dyDescent="0.25">
      <c r="D24" s="10" t="s">
        <v>188</v>
      </c>
      <c r="E24" s="22">
        <v>190</v>
      </c>
      <c r="F24" s="11">
        <v>70.3</v>
      </c>
      <c r="G24" s="11">
        <v>1.1399999999999999</v>
      </c>
      <c r="H24" s="11">
        <v>0.76</v>
      </c>
      <c r="I24" s="11">
        <v>14.82</v>
      </c>
      <c r="J24" s="11">
        <v>1.9</v>
      </c>
      <c r="L24" s="21">
        <v>17</v>
      </c>
      <c r="M24" s="9" t="s">
        <v>49</v>
      </c>
      <c r="N24" s="10">
        <v>1</v>
      </c>
      <c r="O24" s="10" t="s">
        <v>27</v>
      </c>
    </row>
    <row r="25" spans="4:16" ht="15.75" x14ac:dyDescent="0.25">
      <c r="D25" s="10" t="s">
        <v>33</v>
      </c>
      <c r="E25" s="22">
        <v>7.5</v>
      </c>
      <c r="F25" s="11">
        <v>66.3</v>
      </c>
      <c r="G25" s="11">
        <v>0</v>
      </c>
      <c r="H25" s="11">
        <v>7.5</v>
      </c>
      <c r="I25" s="11">
        <v>0</v>
      </c>
      <c r="J25" s="11">
        <v>0</v>
      </c>
      <c r="L25" s="21"/>
      <c r="M25" s="12" t="s">
        <v>50</v>
      </c>
      <c r="N25" s="10"/>
      <c r="O25" s="10"/>
    </row>
    <row r="26" spans="4:16" ht="15.75" x14ac:dyDescent="0.25">
      <c r="D26" s="23" t="s">
        <v>35</v>
      </c>
      <c r="E26" s="23"/>
      <c r="F26" s="24">
        <f>F20+F21+F22+F23+F24+F25</f>
        <v>616.94999999999993</v>
      </c>
      <c r="G26" s="24">
        <f>G20+G21+G22+G23+G24+G25</f>
        <v>24.89</v>
      </c>
      <c r="H26" s="24">
        <f>H20+H21+H22+H23+H24+H25</f>
        <v>12.08</v>
      </c>
      <c r="I26" s="24">
        <f>I20+I22+I23+I24</f>
        <v>100.29999999999998</v>
      </c>
      <c r="J26" s="24">
        <f>J22+J24</f>
        <v>2.25</v>
      </c>
      <c r="L26" s="21">
        <v>18</v>
      </c>
      <c r="M26" s="9" t="s">
        <v>51</v>
      </c>
      <c r="N26" s="13">
        <v>297</v>
      </c>
      <c r="O26" s="13" t="s">
        <v>52</v>
      </c>
    </row>
    <row r="27" spans="4:16" ht="15.75" x14ac:dyDescent="0.25">
      <c r="D27" s="25"/>
      <c r="E27" s="25"/>
      <c r="F27" s="26"/>
      <c r="G27" s="26"/>
      <c r="H27" s="26"/>
      <c r="I27" s="26"/>
      <c r="J27" s="26"/>
      <c r="L27" s="21">
        <v>19</v>
      </c>
      <c r="M27" s="9" t="s">
        <v>53</v>
      </c>
      <c r="N27" s="10">
        <v>6</v>
      </c>
      <c r="O27" s="10" t="s">
        <v>27</v>
      </c>
      <c r="P27" s="14" t="s">
        <v>193</v>
      </c>
    </row>
    <row r="28" spans="4:16" ht="15.75" x14ac:dyDescent="0.25">
      <c r="D28" s="18"/>
      <c r="E28" s="18"/>
      <c r="F28" s="19"/>
      <c r="G28" s="19"/>
      <c r="H28" s="19"/>
      <c r="I28" s="19"/>
      <c r="J28" s="19"/>
      <c r="L28" s="27">
        <v>20</v>
      </c>
      <c r="M28" s="9" t="s">
        <v>54</v>
      </c>
      <c r="N28" s="10">
        <v>1</v>
      </c>
      <c r="O28" s="10" t="s">
        <v>55</v>
      </c>
      <c r="P28" s="15" t="s">
        <v>56</v>
      </c>
    </row>
    <row r="29" spans="4:16" ht="15.75" x14ac:dyDescent="0.25">
      <c r="D29" s="18"/>
      <c r="E29" s="18"/>
      <c r="F29" s="19"/>
      <c r="G29" s="19"/>
      <c r="H29" s="19"/>
      <c r="I29" s="19"/>
      <c r="J29" s="19"/>
      <c r="L29" s="10"/>
      <c r="M29" s="9"/>
      <c r="N29" s="10"/>
      <c r="O29" s="10"/>
      <c r="P29" s="14"/>
    </row>
    <row r="30" spans="4:16" ht="15.75" x14ac:dyDescent="0.25">
      <c r="D30" s="18"/>
      <c r="E30" s="18"/>
      <c r="F30" s="28"/>
      <c r="G30" s="28"/>
      <c r="H30" s="28"/>
      <c r="I30" s="28"/>
      <c r="J30" s="28"/>
      <c r="L30" s="10">
        <v>22</v>
      </c>
      <c r="M30" s="9" t="s">
        <v>33</v>
      </c>
      <c r="N30" s="10"/>
      <c r="O30" s="10" t="s">
        <v>27</v>
      </c>
    </row>
    <row r="31" spans="4:16" ht="15.75" x14ac:dyDescent="0.25">
      <c r="D31" s="29"/>
      <c r="E31" s="30"/>
      <c r="F31" s="30"/>
      <c r="G31" s="30"/>
      <c r="H31" s="30"/>
      <c r="I31" s="30"/>
      <c r="J31" s="30"/>
      <c r="L31" s="10"/>
      <c r="M31" s="31" t="s">
        <v>58</v>
      </c>
      <c r="N31" s="32"/>
      <c r="O31" s="32"/>
    </row>
    <row r="32" spans="4:16" ht="15.75" x14ac:dyDescent="0.25">
      <c r="D32" s="18"/>
      <c r="E32" s="18"/>
      <c r="F32" s="28"/>
      <c r="G32" s="28"/>
      <c r="H32" s="28"/>
      <c r="I32" s="28"/>
      <c r="J32" s="28"/>
      <c r="L32" s="10">
        <v>23</v>
      </c>
      <c r="M32" s="32" t="s">
        <v>59</v>
      </c>
      <c r="N32" s="10">
        <v>170</v>
      </c>
      <c r="O32" s="10" t="s">
        <v>27</v>
      </c>
      <c r="P32" s="14" t="s">
        <v>190</v>
      </c>
    </row>
    <row r="33" spans="4:16" ht="15.75" x14ac:dyDescent="0.25">
      <c r="D33" s="18"/>
      <c r="E33" s="33"/>
      <c r="F33" s="19"/>
      <c r="G33" s="19"/>
      <c r="H33" s="19"/>
      <c r="I33" s="19"/>
      <c r="J33" s="19"/>
      <c r="L33" s="10">
        <v>24</v>
      </c>
      <c r="M33" s="32" t="s">
        <v>60</v>
      </c>
      <c r="N33" s="10">
        <v>4</v>
      </c>
      <c r="O33" s="10" t="s">
        <v>27</v>
      </c>
    </row>
    <row r="34" spans="4:16" x14ac:dyDescent="0.25">
      <c r="L34" s="10">
        <v>25</v>
      </c>
      <c r="M34" s="32" t="s">
        <v>61</v>
      </c>
      <c r="N34" s="10">
        <v>4</v>
      </c>
      <c r="O34" s="10" t="s">
        <v>62</v>
      </c>
      <c r="P34" s="15" t="s">
        <v>194</v>
      </c>
    </row>
    <row r="35" spans="4:16" x14ac:dyDescent="0.25">
      <c r="L35" s="10">
        <v>26</v>
      </c>
      <c r="M35" s="32" t="s">
        <v>47</v>
      </c>
      <c r="N35" s="10">
        <v>3</v>
      </c>
      <c r="O35" s="10" t="s">
        <v>48</v>
      </c>
      <c r="P35" s="14" t="s">
        <v>197</v>
      </c>
    </row>
    <row r="36" spans="4:16" x14ac:dyDescent="0.25">
      <c r="L36" s="10">
        <v>27</v>
      </c>
      <c r="M36" s="32" t="s">
        <v>49</v>
      </c>
      <c r="N36" s="10"/>
      <c r="O36" s="10" t="s">
        <v>27</v>
      </c>
      <c r="P36" s="15" t="s">
        <v>63</v>
      </c>
    </row>
    <row r="37" spans="4:16" x14ac:dyDescent="0.25">
      <c r="L37" s="10">
        <v>28</v>
      </c>
      <c r="M37" s="32" t="s">
        <v>65</v>
      </c>
      <c r="N37" s="10">
        <v>5</v>
      </c>
      <c r="O37" s="10" t="s">
        <v>27</v>
      </c>
      <c r="P37" s="15" t="s">
        <v>196</v>
      </c>
    </row>
    <row r="38" spans="4:16" x14ac:dyDescent="0.25">
      <c r="L38" s="10">
        <v>29</v>
      </c>
      <c r="M38" s="32" t="s">
        <v>33</v>
      </c>
      <c r="N38" s="10"/>
      <c r="O38" s="10" t="s">
        <v>27</v>
      </c>
      <c r="P38" s="14"/>
    </row>
    <row r="39" spans="4:16" x14ac:dyDescent="0.25">
      <c r="L39" s="34"/>
      <c r="M39" s="35" t="s">
        <v>66</v>
      </c>
      <c r="N39" s="34"/>
      <c r="O39" s="34"/>
    </row>
    <row r="40" spans="4:16" x14ac:dyDescent="0.25">
      <c r="L40" s="10">
        <v>30</v>
      </c>
      <c r="M40" s="32" t="s">
        <v>191</v>
      </c>
      <c r="N40" s="10">
        <v>160</v>
      </c>
      <c r="O40" s="10" t="s">
        <v>27</v>
      </c>
    </row>
    <row r="41" spans="4:16" x14ac:dyDescent="0.25">
      <c r="L41" s="29"/>
      <c r="M41" s="15"/>
      <c r="N41" s="29"/>
      <c r="O41" s="29"/>
    </row>
    <row r="42" spans="4:16" x14ac:dyDescent="0.25">
      <c r="L42" s="29"/>
      <c r="N42" s="29"/>
      <c r="O42" s="29"/>
    </row>
  </sheetData>
  <mergeCells count="2">
    <mergeCell ref="B3:H3"/>
    <mergeCell ref="B4:H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C712-AEED-4FC1-9A33-5B8F1D8B3A8B}">
  <dimension ref="B3:P43"/>
  <sheetViews>
    <sheetView topLeftCell="B16" zoomScale="78" zoomScaleNormal="78" workbookViewId="0">
      <selection activeCell="M12" sqref="M12"/>
    </sheetView>
  </sheetViews>
  <sheetFormatPr defaultRowHeight="15" x14ac:dyDescent="0.25"/>
  <cols>
    <col min="2" max="2" width="24.42578125" customWidth="1"/>
    <col min="4" max="4" width="14.140625" customWidth="1"/>
    <col min="9" max="9" width="18.7109375" customWidth="1"/>
    <col min="13" max="13" width="36.5703125" customWidth="1"/>
    <col min="16" max="16" width="24" customWidth="1"/>
  </cols>
  <sheetData>
    <row r="3" spans="2:16" x14ac:dyDescent="0.25">
      <c r="B3" s="54" t="s">
        <v>0</v>
      </c>
      <c r="C3" s="54"/>
      <c r="D3" s="54"/>
      <c r="E3" s="54"/>
      <c r="F3" s="54"/>
      <c r="G3" s="54"/>
      <c r="H3" s="54"/>
    </row>
    <row r="4" spans="2:16" x14ac:dyDescent="0.25">
      <c r="B4" s="55" t="s">
        <v>1</v>
      </c>
      <c r="C4" s="55"/>
      <c r="D4" s="55"/>
      <c r="E4" s="55"/>
      <c r="F4" s="55"/>
      <c r="G4" s="55"/>
      <c r="H4" s="55"/>
    </row>
    <row r="5" spans="2:16" x14ac:dyDescent="0.25">
      <c r="B5" s="1" t="s">
        <v>67</v>
      </c>
      <c r="D5" s="2" t="s">
        <v>3</v>
      </c>
      <c r="L5" s="2" t="s">
        <v>4</v>
      </c>
    </row>
    <row r="6" spans="2:16" x14ac:dyDescent="0.25">
      <c r="B6" t="s">
        <v>68</v>
      </c>
      <c r="D6" s="2" t="s">
        <v>6</v>
      </c>
      <c r="L6" s="3" t="s">
        <v>7</v>
      </c>
      <c r="M6" s="3" t="s">
        <v>8</v>
      </c>
      <c r="N6" s="3" t="s">
        <v>9</v>
      </c>
      <c r="O6" s="3" t="s">
        <v>10</v>
      </c>
    </row>
    <row r="7" spans="2:16" ht="15.75" thickBot="1" x14ac:dyDescent="0.3">
      <c r="D7" s="2"/>
      <c r="L7" s="32"/>
      <c r="M7" s="31" t="s">
        <v>69</v>
      </c>
      <c r="N7" s="32"/>
      <c r="O7" s="32"/>
    </row>
    <row r="8" spans="2:16" ht="28.5" x14ac:dyDescent="0.25">
      <c r="B8" t="s">
        <v>70</v>
      </c>
      <c r="D8" s="4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6" t="s">
        <v>17</v>
      </c>
      <c r="J8" s="7" t="s">
        <v>18</v>
      </c>
      <c r="L8" s="8">
        <v>1</v>
      </c>
      <c r="M8" s="32" t="s">
        <v>19</v>
      </c>
      <c r="N8" s="10">
        <v>140</v>
      </c>
      <c r="O8" s="10" t="s">
        <v>27</v>
      </c>
    </row>
    <row r="9" spans="2:16" ht="15.75" x14ac:dyDescent="0.25">
      <c r="B9" t="s">
        <v>71</v>
      </c>
      <c r="D9" s="36" t="s">
        <v>72</v>
      </c>
      <c r="E9" s="11">
        <v>100</v>
      </c>
      <c r="F9" s="11">
        <v>180</v>
      </c>
      <c r="G9" s="11">
        <v>3</v>
      </c>
      <c r="H9" s="11">
        <v>0.3</v>
      </c>
      <c r="I9" s="11">
        <v>39.799999999999997</v>
      </c>
      <c r="J9" s="11">
        <v>0.2</v>
      </c>
      <c r="L9" s="8">
        <v>2</v>
      </c>
      <c r="M9" s="32" t="s">
        <v>73</v>
      </c>
      <c r="N9" s="10">
        <v>1</v>
      </c>
      <c r="O9" s="10" t="s">
        <v>27</v>
      </c>
    </row>
    <row r="10" spans="2:16" ht="15.75" x14ac:dyDescent="0.25">
      <c r="B10" t="s">
        <v>74</v>
      </c>
      <c r="D10" s="36" t="s">
        <v>75</v>
      </c>
      <c r="E10" s="11">
        <v>55</v>
      </c>
      <c r="F10" s="11">
        <v>84.7</v>
      </c>
      <c r="G10" s="11">
        <v>6.82</v>
      </c>
      <c r="H10" s="11">
        <v>5.94</v>
      </c>
      <c r="I10" s="11">
        <v>0.39</v>
      </c>
      <c r="J10" s="11">
        <v>0</v>
      </c>
      <c r="L10" s="8">
        <v>3</v>
      </c>
      <c r="M10" s="32" t="s">
        <v>76</v>
      </c>
      <c r="N10" s="10">
        <v>1</v>
      </c>
      <c r="O10" s="10" t="s">
        <v>27</v>
      </c>
    </row>
    <row r="11" spans="2:16" ht="15.75" x14ac:dyDescent="0.25">
      <c r="B11" t="s">
        <v>77</v>
      </c>
      <c r="D11" s="29" t="s">
        <v>71</v>
      </c>
      <c r="E11" s="11">
        <v>27.5</v>
      </c>
      <c r="F11" s="11">
        <v>22</v>
      </c>
      <c r="G11" s="11">
        <v>3</v>
      </c>
      <c r="H11" s="11">
        <v>1.29</v>
      </c>
      <c r="I11" s="11">
        <v>0.22</v>
      </c>
      <c r="J11" s="11">
        <v>0.03</v>
      </c>
      <c r="L11" s="8">
        <v>4</v>
      </c>
      <c r="M11" s="32" t="s">
        <v>78</v>
      </c>
      <c r="N11" s="10">
        <v>1</v>
      </c>
      <c r="O11" s="10" t="s">
        <v>55</v>
      </c>
      <c r="P11" s="15" t="s">
        <v>56</v>
      </c>
    </row>
    <row r="12" spans="2:16" ht="15.75" x14ac:dyDescent="0.25">
      <c r="D12" s="36" t="s">
        <v>79</v>
      </c>
      <c r="E12" s="11">
        <v>50</v>
      </c>
      <c r="F12" s="11">
        <v>14</v>
      </c>
      <c r="G12" s="11">
        <v>1.7</v>
      </c>
      <c r="H12" s="11">
        <v>0.35</v>
      </c>
      <c r="I12" s="11">
        <v>1.95</v>
      </c>
      <c r="J12" s="11">
        <v>1</v>
      </c>
      <c r="L12" s="8">
        <v>5</v>
      </c>
      <c r="M12" s="32" t="s">
        <v>124</v>
      </c>
      <c r="N12" s="10">
        <v>1</v>
      </c>
      <c r="O12" s="10" t="s">
        <v>30</v>
      </c>
    </row>
    <row r="13" spans="2:16" ht="15.75" x14ac:dyDescent="0.25">
      <c r="D13" s="36" t="s">
        <v>81</v>
      </c>
      <c r="E13" s="11">
        <v>110</v>
      </c>
      <c r="F13" s="11">
        <v>49.5</v>
      </c>
      <c r="G13" s="11">
        <v>0.99</v>
      </c>
      <c r="H13" s="11">
        <v>0.22</v>
      </c>
      <c r="I13" s="11">
        <v>12.32</v>
      </c>
      <c r="J13" s="11">
        <v>1.54</v>
      </c>
      <c r="L13" s="8"/>
      <c r="M13" s="31" t="s">
        <v>82</v>
      </c>
      <c r="N13" s="10"/>
      <c r="O13" s="10"/>
    </row>
    <row r="14" spans="2:16" ht="15.75" x14ac:dyDescent="0.25">
      <c r="D14" s="36" t="s">
        <v>33</v>
      </c>
      <c r="E14" s="10">
        <v>5</v>
      </c>
      <c r="F14" s="11">
        <v>44.2</v>
      </c>
      <c r="G14" s="11">
        <v>0</v>
      </c>
      <c r="H14" s="11">
        <v>5</v>
      </c>
      <c r="I14" s="11">
        <v>0</v>
      </c>
      <c r="J14" s="11">
        <v>0</v>
      </c>
      <c r="L14" s="10">
        <v>6</v>
      </c>
      <c r="M14" s="32" t="s">
        <v>83</v>
      </c>
      <c r="N14" s="10">
        <v>78</v>
      </c>
      <c r="O14" s="10" t="s">
        <v>84</v>
      </c>
      <c r="P14" s="15" t="s">
        <v>85</v>
      </c>
    </row>
    <row r="15" spans="2:16" ht="15.75" x14ac:dyDescent="0.25">
      <c r="D15" s="16" t="s">
        <v>35</v>
      </c>
      <c r="E15" s="37"/>
      <c r="F15" s="38">
        <v>394.4</v>
      </c>
      <c r="G15" s="38">
        <v>15.51</v>
      </c>
      <c r="H15" s="38">
        <v>13.1</v>
      </c>
      <c r="I15" s="38">
        <v>54.68</v>
      </c>
      <c r="J15" s="38">
        <v>2.77</v>
      </c>
      <c r="L15" s="10">
        <v>7</v>
      </c>
      <c r="M15" s="32" t="s">
        <v>34</v>
      </c>
      <c r="N15" s="10">
        <v>2.5</v>
      </c>
      <c r="O15" s="10" t="s">
        <v>27</v>
      </c>
    </row>
    <row r="16" spans="2:16" ht="15.75" x14ac:dyDescent="0.25">
      <c r="F16" s="19"/>
      <c r="G16" s="19"/>
      <c r="H16" s="19"/>
      <c r="I16" s="19"/>
      <c r="J16" s="19"/>
      <c r="L16" s="10">
        <v>8</v>
      </c>
      <c r="M16" s="32" t="s">
        <v>86</v>
      </c>
      <c r="N16" s="10">
        <v>1.5</v>
      </c>
      <c r="O16" s="10" t="s">
        <v>27</v>
      </c>
    </row>
    <row r="17" spans="4:16" ht="16.5" thickBot="1" x14ac:dyDescent="0.3">
      <c r="D17" s="20" t="s">
        <v>40</v>
      </c>
      <c r="L17" s="21">
        <v>9</v>
      </c>
      <c r="M17" s="32" t="s">
        <v>39</v>
      </c>
      <c r="N17" s="10">
        <v>3</v>
      </c>
      <c r="O17" s="10" t="s">
        <v>27</v>
      </c>
    </row>
    <row r="18" spans="4:16" x14ac:dyDescent="0.25">
      <c r="D18" s="56" t="s">
        <v>12</v>
      </c>
      <c r="E18" s="56" t="s">
        <v>13</v>
      </c>
      <c r="F18" s="56" t="s">
        <v>14</v>
      </c>
      <c r="G18" s="56" t="s">
        <v>15</v>
      </c>
      <c r="H18" s="56" t="s">
        <v>16</v>
      </c>
      <c r="I18" s="56" t="s">
        <v>17</v>
      </c>
      <c r="J18" s="5" t="s">
        <v>42</v>
      </c>
      <c r="L18" s="21">
        <v>10</v>
      </c>
      <c r="M18" s="32" t="s">
        <v>87</v>
      </c>
      <c r="N18" s="10">
        <v>1</v>
      </c>
      <c r="O18" s="10" t="s">
        <v>27</v>
      </c>
    </row>
    <row r="19" spans="4:16" ht="28.5" x14ac:dyDescent="0.25">
      <c r="D19" s="57"/>
      <c r="E19" s="57"/>
      <c r="F19" s="57"/>
      <c r="G19" s="57"/>
      <c r="H19" s="57"/>
      <c r="I19" s="57"/>
      <c r="J19" s="39" t="s">
        <v>88</v>
      </c>
      <c r="L19" s="21">
        <v>11</v>
      </c>
      <c r="M19" s="32" t="s">
        <v>89</v>
      </c>
      <c r="N19" s="10">
        <v>1</v>
      </c>
      <c r="O19" s="10" t="s">
        <v>27</v>
      </c>
    </row>
    <row r="20" spans="4:16" ht="15.75" x14ac:dyDescent="0.25">
      <c r="D20" s="10" t="s">
        <v>72</v>
      </c>
      <c r="E20" s="11">
        <v>200</v>
      </c>
      <c r="F20" s="11">
        <v>360</v>
      </c>
      <c r="G20" s="11">
        <v>6</v>
      </c>
      <c r="H20" s="11">
        <v>0.6</v>
      </c>
      <c r="I20" s="11">
        <v>79.599999999999994</v>
      </c>
      <c r="J20" s="11">
        <v>0.4</v>
      </c>
      <c r="L20" s="21">
        <v>12</v>
      </c>
      <c r="M20" s="32" t="s">
        <v>90</v>
      </c>
      <c r="N20" s="10">
        <v>27</v>
      </c>
      <c r="O20" s="10" t="s">
        <v>91</v>
      </c>
      <c r="P20" s="14" t="s">
        <v>92</v>
      </c>
    </row>
    <row r="21" spans="4:16" ht="15.75" x14ac:dyDescent="0.25">
      <c r="D21" s="10" t="s">
        <v>75</v>
      </c>
      <c r="E21" s="11">
        <v>55</v>
      </c>
      <c r="F21" s="11">
        <v>84.7</v>
      </c>
      <c r="G21" s="11">
        <v>6.82</v>
      </c>
      <c r="H21" s="11">
        <v>5.94</v>
      </c>
      <c r="I21" s="11">
        <v>0.39</v>
      </c>
      <c r="J21" s="11">
        <v>0</v>
      </c>
      <c r="L21" s="21">
        <v>13</v>
      </c>
      <c r="M21" s="32" t="s">
        <v>93</v>
      </c>
      <c r="N21" s="10">
        <v>1</v>
      </c>
      <c r="O21" s="10" t="s">
        <v>200</v>
      </c>
    </row>
    <row r="22" spans="4:16" ht="15.75" x14ac:dyDescent="0.25">
      <c r="D22" s="10" t="s">
        <v>71</v>
      </c>
      <c r="E22" s="11">
        <v>55</v>
      </c>
      <c r="F22" s="11">
        <v>44</v>
      </c>
      <c r="G22" s="11">
        <v>6</v>
      </c>
      <c r="H22" s="11">
        <v>2.58</v>
      </c>
      <c r="I22" s="11">
        <v>0.44</v>
      </c>
      <c r="J22" s="11">
        <v>0.06</v>
      </c>
      <c r="L22" s="21">
        <v>14</v>
      </c>
      <c r="M22" s="32" t="s">
        <v>47</v>
      </c>
      <c r="N22" s="10">
        <v>2</v>
      </c>
      <c r="O22" s="10" t="s">
        <v>48</v>
      </c>
    </row>
    <row r="23" spans="4:16" ht="15.75" x14ac:dyDescent="0.25">
      <c r="D23" s="10" t="s">
        <v>79</v>
      </c>
      <c r="E23" s="11">
        <v>50</v>
      </c>
      <c r="F23" s="11">
        <v>14</v>
      </c>
      <c r="G23" s="11">
        <v>1.7</v>
      </c>
      <c r="H23" s="11">
        <v>0.35</v>
      </c>
      <c r="I23" s="11">
        <v>1.95</v>
      </c>
      <c r="J23" s="11">
        <v>1</v>
      </c>
      <c r="L23" s="21">
        <v>15</v>
      </c>
      <c r="M23" s="32" t="s">
        <v>49</v>
      </c>
      <c r="N23" s="10"/>
      <c r="O23" s="10" t="s">
        <v>27</v>
      </c>
      <c r="P23" s="14" t="s">
        <v>94</v>
      </c>
    </row>
    <row r="24" spans="4:16" ht="15.75" x14ac:dyDescent="0.25">
      <c r="D24" s="10" t="s">
        <v>81</v>
      </c>
      <c r="E24" s="11">
        <v>110</v>
      </c>
      <c r="F24" s="11">
        <v>49.5</v>
      </c>
      <c r="G24" s="11">
        <v>0.99</v>
      </c>
      <c r="H24" s="11">
        <v>0.22</v>
      </c>
      <c r="I24" s="11">
        <v>12.32</v>
      </c>
      <c r="J24" s="11">
        <v>1.54</v>
      </c>
      <c r="L24" s="27">
        <v>16</v>
      </c>
      <c r="M24" s="32" t="s">
        <v>95</v>
      </c>
      <c r="N24" s="10">
        <v>1</v>
      </c>
      <c r="O24" s="10" t="s">
        <v>48</v>
      </c>
      <c r="P24" s="14" t="s">
        <v>96</v>
      </c>
    </row>
    <row r="25" spans="4:16" ht="15.75" x14ac:dyDescent="0.25">
      <c r="D25" s="10" t="s">
        <v>33</v>
      </c>
      <c r="E25" s="11">
        <v>7.5</v>
      </c>
      <c r="F25" s="11">
        <v>66.3</v>
      </c>
      <c r="G25" s="11">
        <v>0</v>
      </c>
      <c r="H25" s="11">
        <v>7.5</v>
      </c>
      <c r="I25" s="11">
        <v>0</v>
      </c>
      <c r="J25" s="11">
        <v>0</v>
      </c>
      <c r="L25" s="10">
        <v>17</v>
      </c>
      <c r="M25" s="32" t="s">
        <v>97</v>
      </c>
      <c r="N25" s="10">
        <v>65</v>
      </c>
      <c r="O25" s="10" t="s">
        <v>27</v>
      </c>
    </row>
    <row r="26" spans="4:16" ht="15.75" x14ac:dyDescent="0.25">
      <c r="D26" s="16" t="s">
        <v>35</v>
      </c>
      <c r="E26" s="16"/>
      <c r="F26" s="17">
        <v>618.5</v>
      </c>
      <c r="G26" s="17">
        <v>21.51</v>
      </c>
      <c r="H26" s="17">
        <v>17.190000000000001</v>
      </c>
      <c r="I26" s="17">
        <v>94.7</v>
      </c>
      <c r="J26" s="17">
        <v>3</v>
      </c>
      <c r="L26" s="10"/>
      <c r="M26" s="15" t="s">
        <v>98</v>
      </c>
      <c r="N26" s="10"/>
      <c r="O26" s="10"/>
    </row>
    <row r="27" spans="4:16" ht="15.75" x14ac:dyDescent="0.25">
      <c r="F27" s="19"/>
      <c r="G27" s="19"/>
      <c r="H27" s="19"/>
      <c r="I27" s="19"/>
      <c r="J27" s="19"/>
      <c r="L27" s="10">
        <v>18</v>
      </c>
      <c r="M27" s="9" t="s">
        <v>99</v>
      </c>
      <c r="N27" s="13">
        <v>16.5</v>
      </c>
      <c r="O27" s="13" t="s">
        <v>52</v>
      </c>
      <c r="P27" s="14" t="s">
        <v>100</v>
      </c>
    </row>
    <row r="28" spans="4:16" x14ac:dyDescent="0.25">
      <c r="L28" s="10">
        <v>19</v>
      </c>
      <c r="M28" s="9" t="s">
        <v>53</v>
      </c>
      <c r="N28" s="10">
        <v>6</v>
      </c>
      <c r="O28" s="10" t="s">
        <v>27</v>
      </c>
    </row>
    <row r="29" spans="4:16" x14ac:dyDescent="0.25">
      <c r="L29" s="10">
        <v>20</v>
      </c>
      <c r="M29" s="9" t="s">
        <v>54</v>
      </c>
      <c r="N29" s="10"/>
      <c r="O29" s="10" t="s">
        <v>201</v>
      </c>
      <c r="P29" s="14" t="s">
        <v>94</v>
      </c>
    </row>
    <row r="30" spans="4:16" x14ac:dyDescent="0.25">
      <c r="L30" s="10">
        <v>21</v>
      </c>
      <c r="M30" s="9" t="s">
        <v>57</v>
      </c>
      <c r="N30" s="10"/>
      <c r="O30" s="10" t="s">
        <v>201</v>
      </c>
      <c r="P30" s="14" t="s">
        <v>94</v>
      </c>
    </row>
    <row r="31" spans="4:16" x14ac:dyDescent="0.25">
      <c r="L31" s="10">
        <v>22</v>
      </c>
      <c r="M31" s="9" t="s">
        <v>33</v>
      </c>
      <c r="N31" s="10"/>
      <c r="O31" s="10" t="s">
        <v>27</v>
      </c>
    </row>
    <row r="32" spans="4:16" x14ac:dyDescent="0.25">
      <c r="L32" s="10"/>
      <c r="M32" s="31" t="s">
        <v>101</v>
      </c>
      <c r="N32" s="10"/>
      <c r="O32" s="10"/>
    </row>
    <row r="33" spans="12:16" x14ac:dyDescent="0.25">
      <c r="L33" s="10">
        <v>23</v>
      </c>
      <c r="M33" s="32" t="s">
        <v>102</v>
      </c>
      <c r="N33" s="10">
        <v>160</v>
      </c>
      <c r="O33" s="10" t="s">
        <v>27</v>
      </c>
    </row>
    <row r="34" spans="12:16" x14ac:dyDescent="0.25">
      <c r="L34" s="10">
        <v>24</v>
      </c>
      <c r="M34" s="32" t="s">
        <v>36</v>
      </c>
      <c r="N34" s="10">
        <v>1.5</v>
      </c>
      <c r="O34" s="10" t="s">
        <v>27</v>
      </c>
    </row>
    <row r="35" spans="12:16" x14ac:dyDescent="0.25">
      <c r="L35" s="10">
        <v>25</v>
      </c>
      <c r="M35" s="32" t="s">
        <v>34</v>
      </c>
      <c r="N35" s="10">
        <v>2</v>
      </c>
      <c r="O35" s="10" t="s">
        <v>27</v>
      </c>
    </row>
    <row r="36" spans="12:16" x14ac:dyDescent="0.25">
      <c r="L36" s="10">
        <v>26</v>
      </c>
      <c r="M36" s="32" t="s">
        <v>103</v>
      </c>
      <c r="N36" s="10">
        <v>1</v>
      </c>
      <c r="O36" s="10" t="s">
        <v>27</v>
      </c>
    </row>
    <row r="37" spans="12:16" x14ac:dyDescent="0.25">
      <c r="L37" s="10">
        <v>27</v>
      </c>
      <c r="M37" s="32" t="s">
        <v>104</v>
      </c>
      <c r="N37" s="10">
        <v>1</v>
      </c>
      <c r="O37" s="10" t="s">
        <v>27</v>
      </c>
    </row>
    <row r="38" spans="12:16" x14ac:dyDescent="0.25">
      <c r="L38" s="10">
        <v>28</v>
      </c>
      <c r="M38" s="32" t="s">
        <v>105</v>
      </c>
      <c r="N38" s="10">
        <v>1</v>
      </c>
      <c r="O38" s="10" t="s">
        <v>200</v>
      </c>
      <c r="P38" s="15"/>
    </row>
    <row r="39" spans="12:16" x14ac:dyDescent="0.25">
      <c r="L39" s="10">
        <v>29</v>
      </c>
      <c r="M39" s="32" t="s">
        <v>80</v>
      </c>
      <c r="N39" s="10">
        <v>1</v>
      </c>
      <c r="O39" s="10" t="s">
        <v>30</v>
      </c>
      <c r="P39" s="14"/>
    </row>
    <row r="40" spans="12:16" x14ac:dyDescent="0.25">
      <c r="L40" s="10">
        <v>30</v>
      </c>
      <c r="M40" s="32" t="s">
        <v>95</v>
      </c>
      <c r="N40" s="10">
        <v>1</v>
      </c>
      <c r="O40" s="10" t="s">
        <v>48</v>
      </c>
      <c r="P40" s="14" t="s">
        <v>96</v>
      </c>
    </row>
    <row r="41" spans="12:16" x14ac:dyDescent="0.25">
      <c r="L41" s="10">
        <v>31</v>
      </c>
      <c r="M41" s="32" t="s">
        <v>97</v>
      </c>
      <c r="N41" s="10"/>
      <c r="O41" s="10" t="s">
        <v>27</v>
      </c>
    </row>
    <row r="42" spans="12:16" x14ac:dyDescent="0.25">
      <c r="L42" s="10"/>
      <c r="M42" s="31" t="s">
        <v>66</v>
      </c>
      <c r="N42" s="10"/>
      <c r="O42" s="10"/>
    </row>
    <row r="43" spans="12:16" x14ac:dyDescent="0.25">
      <c r="L43" s="10">
        <v>32</v>
      </c>
      <c r="M43" s="32" t="s">
        <v>106</v>
      </c>
      <c r="N43" s="10">
        <v>165</v>
      </c>
      <c r="O43" s="10" t="s">
        <v>27</v>
      </c>
    </row>
  </sheetData>
  <mergeCells count="8">
    <mergeCell ref="I18:I19"/>
    <mergeCell ref="B3:H3"/>
    <mergeCell ref="B4:H4"/>
    <mergeCell ref="D18:D19"/>
    <mergeCell ref="E18:E19"/>
    <mergeCell ref="F18:F19"/>
    <mergeCell ref="G18:G19"/>
    <mergeCell ref="H18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4177-8240-48FB-9DB2-1ED46B48F470}">
  <dimension ref="B3:P49"/>
  <sheetViews>
    <sheetView zoomScale="78" zoomScaleNormal="78" workbookViewId="0">
      <selection activeCell="P44" sqref="P44"/>
    </sheetView>
  </sheetViews>
  <sheetFormatPr defaultRowHeight="15" x14ac:dyDescent="0.25"/>
  <cols>
    <col min="2" max="2" width="20.5703125" customWidth="1"/>
    <col min="3" max="3" width="5" customWidth="1"/>
    <col min="4" max="4" width="15" customWidth="1"/>
    <col min="9" max="9" width="14" customWidth="1"/>
    <col min="12" max="12" width="6.5703125" customWidth="1"/>
    <col min="13" max="13" width="28" customWidth="1"/>
    <col min="16" max="16" width="21.7109375" customWidth="1"/>
  </cols>
  <sheetData>
    <row r="3" spans="2:16" x14ac:dyDescent="0.25">
      <c r="B3" s="54" t="s">
        <v>0</v>
      </c>
      <c r="C3" s="54"/>
      <c r="D3" s="54"/>
      <c r="E3" s="54"/>
      <c r="F3" s="54"/>
      <c r="G3" s="54"/>
      <c r="H3" s="54"/>
    </row>
    <row r="4" spans="2:16" x14ac:dyDescent="0.25">
      <c r="B4" s="55" t="s">
        <v>1</v>
      </c>
      <c r="C4" s="54"/>
      <c r="D4" s="54"/>
      <c r="E4" s="54"/>
      <c r="F4" s="54"/>
      <c r="G4" s="54"/>
      <c r="H4" s="54"/>
    </row>
    <row r="5" spans="2:16" x14ac:dyDescent="0.25">
      <c r="B5" s="1" t="s">
        <v>107</v>
      </c>
      <c r="D5" s="2" t="s">
        <v>3</v>
      </c>
      <c r="L5" s="2" t="s">
        <v>4</v>
      </c>
    </row>
    <row r="6" spans="2:16" x14ac:dyDescent="0.25">
      <c r="B6" t="s">
        <v>5</v>
      </c>
      <c r="D6" s="2" t="s">
        <v>6</v>
      </c>
      <c r="L6" s="3" t="s">
        <v>7</v>
      </c>
      <c r="M6" s="3" t="s">
        <v>8</v>
      </c>
      <c r="N6" s="3" t="s">
        <v>9</v>
      </c>
      <c r="O6" s="3" t="s">
        <v>10</v>
      </c>
    </row>
    <row r="7" spans="2:16" ht="15.75" thickBot="1" x14ac:dyDescent="0.3">
      <c r="D7" s="2"/>
      <c r="L7" s="8">
        <v>1</v>
      </c>
      <c r="M7" s="32" t="s">
        <v>108</v>
      </c>
      <c r="N7" s="10">
        <v>140</v>
      </c>
      <c r="O7" s="10" t="s">
        <v>27</v>
      </c>
    </row>
    <row r="8" spans="2:16" ht="42.75" x14ac:dyDescent="0.25">
      <c r="B8" t="s">
        <v>109</v>
      </c>
      <c r="D8" s="4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6" t="s">
        <v>17</v>
      </c>
      <c r="J8" s="7" t="s">
        <v>18</v>
      </c>
      <c r="L8" s="8"/>
      <c r="M8" s="31" t="s">
        <v>110</v>
      </c>
      <c r="N8" s="10"/>
      <c r="O8" s="10"/>
    </row>
    <row r="9" spans="2:16" ht="15.75" x14ac:dyDescent="0.25">
      <c r="B9" t="s">
        <v>111</v>
      </c>
      <c r="D9" s="10" t="s">
        <v>72</v>
      </c>
      <c r="E9" s="11">
        <v>100</v>
      </c>
      <c r="F9" s="11">
        <v>180</v>
      </c>
      <c r="G9" s="11">
        <v>3</v>
      </c>
      <c r="H9" s="11">
        <v>0.3</v>
      </c>
      <c r="I9" s="11">
        <v>39.799999999999997</v>
      </c>
      <c r="J9" s="11">
        <v>0</v>
      </c>
      <c r="L9" s="8">
        <v>2</v>
      </c>
      <c r="M9" s="32" t="s">
        <v>112</v>
      </c>
      <c r="N9" s="10">
        <v>238</v>
      </c>
      <c r="O9" s="10" t="s">
        <v>20</v>
      </c>
      <c r="P9" s="14" t="s">
        <v>186</v>
      </c>
    </row>
    <row r="10" spans="2:16" ht="15.75" x14ac:dyDescent="0.25">
      <c r="B10" t="s">
        <v>113</v>
      </c>
      <c r="D10" s="10" t="s">
        <v>114</v>
      </c>
      <c r="E10" s="11">
        <v>40</v>
      </c>
      <c r="F10" s="11">
        <v>119.2</v>
      </c>
      <c r="G10" s="11">
        <v>7.28</v>
      </c>
      <c r="H10" s="11">
        <v>10</v>
      </c>
      <c r="I10" s="11">
        <v>0</v>
      </c>
      <c r="J10" s="11">
        <v>0</v>
      </c>
      <c r="L10" s="8">
        <v>3</v>
      </c>
      <c r="M10" s="32" t="s">
        <v>76</v>
      </c>
      <c r="N10" s="10">
        <v>1</v>
      </c>
      <c r="O10" s="10" t="s">
        <v>27</v>
      </c>
    </row>
    <row r="11" spans="2:16" ht="15.75" x14ac:dyDescent="0.25">
      <c r="B11" t="s">
        <v>115</v>
      </c>
      <c r="D11" s="10" t="s">
        <v>28</v>
      </c>
      <c r="E11" s="40">
        <v>12.5</v>
      </c>
      <c r="F11" s="40">
        <v>25.13</v>
      </c>
      <c r="G11" s="40">
        <v>2.6</v>
      </c>
      <c r="H11" s="40">
        <v>1.1000000000000001</v>
      </c>
      <c r="I11" s="40">
        <v>1.69</v>
      </c>
      <c r="J11" s="40">
        <v>0.17</v>
      </c>
      <c r="L11" s="8">
        <v>4</v>
      </c>
      <c r="M11" s="32" t="s">
        <v>116</v>
      </c>
      <c r="N11" s="10">
        <v>1</v>
      </c>
      <c r="O11" s="10" t="s">
        <v>27</v>
      </c>
    </row>
    <row r="12" spans="2:16" x14ac:dyDescent="0.25">
      <c r="D12" s="36" t="s">
        <v>117</v>
      </c>
      <c r="E12" s="41">
        <v>50</v>
      </c>
      <c r="F12" s="41">
        <v>15</v>
      </c>
      <c r="G12" s="41">
        <v>0.3</v>
      </c>
      <c r="H12" s="41">
        <v>0.05</v>
      </c>
      <c r="I12" s="41">
        <v>3.3</v>
      </c>
      <c r="J12" s="41">
        <v>3.1</v>
      </c>
      <c r="L12" s="8">
        <v>5</v>
      </c>
      <c r="M12" s="32" t="s">
        <v>118</v>
      </c>
      <c r="N12" s="10">
        <v>50</v>
      </c>
      <c r="O12" s="10" t="s">
        <v>91</v>
      </c>
    </row>
    <row r="13" spans="2:16" ht="15.75" x14ac:dyDescent="0.25">
      <c r="D13" s="10" t="s">
        <v>115</v>
      </c>
      <c r="E13" s="42">
        <v>180</v>
      </c>
      <c r="F13" s="42">
        <v>50.4</v>
      </c>
      <c r="G13" s="42">
        <v>0.9</v>
      </c>
      <c r="H13" s="42">
        <v>0.36</v>
      </c>
      <c r="I13" s="42">
        <v>12.42</v>
      </c>
      <c r="J13" s="42">
        <v>0.72</v>
      </c>
      <c r="L13" s="8">
        <v>6</v>
      </c>
      <c r="M13" s="32" t="s">
        <v>119</v>
      </c>
      <c r="N13" s="10">
        <v>1</v>
      </c>
      <c r="O13" s="10" t="s">
        <v>27</v>
      </c>
    </row>
    <row r="14" spans="2:16" ht="15.75" x14ac:dyDescent="0.25">
      <c r="D14" s="10" t="s">
        <v>33</v>
      </c>
      <c r="E14" s="11">
        <v>5</v>
      </c>
      <c r="F14" s="11">
        <v>44.2</v>
      </c>
      <c r="G14" s="11">
        <v>0</v>
      </c>
      <c r="H14" s="11">
        <v>5</v>
      </c>
      <c r="I14" s="11">
        <v>0</v>
      </c>
      <c r="J14" s="11">
        <v>0</v>
      </c>
      <c r="L14" s="10">
        <v>7</v>
      </c>
      <c r="M14" s="32" t="s">
        <v>120</v>
      </c>
      <c r="N14" s="10">
        <v>1.5</v>
      </c>
      <c r="O14" s="10" t="s">
        <v>27</v>
      </c>
    </row>
    <row r="15" spans="2:16" x14ac:dyDescent="0.25">
      <c r="D15" s="16" t="s">
        <v>35</v>
      </c>
      <c r="E15" s="43"/>
      <c r="F15" s="16">
        <f>F9+F10+F11+F12+F13+F14</f>
        <v>433.92999999999995</v>
      </c>
      <c r="G15" s="16">
        <f>G9+G10+G11+G12+G13+G14</f>
        <v>14.080000000000002</v>
      </c>
      <c r="H15" s="16">
        <f>H9+H10+H11+H12+H13+H14</f>
        <v>16.810000000000002</v>
      </c>
      <c r="I15" s="16">
        <f>I9+I10+I11+I12+I13+I14</f>
        <v>57.209999999999994</v>
      </c>
      <c r="J15" s="16">
        <f>J9+J10+J11+J12+J13+J14</f>
        <v>3.99</v>
      </c>
      <c r="L15" s="10">
        <v>8</v>
      </c>
      <c r="M15" s="32" t="s">
        <v>121</v>
      </c>
      <c r="N15" s="10">
        <v>110</v>
      </c>
      <c r="O15" s="10" t="s">
        <v>122</v>
      </c>
      <c r="P15" s="14" t="s">
        <v>123</v>
      </c>
    </row>
    <row r="16" spans="2:16" x14ac:dyDescent="0.25">
      <c r="L16" s="10">
        <v>9</v>
      </c>
      <c r="M16" s="32" t="s">
        <v>124</v>
      </c>
      <c r="N16" s="10">
        <v>1</v>
      </c>
      <c r="O16" s="10" t="s">
        <v>30</v>
      </c>
    </row>
    <row r="17" spans="4:16" ht="15.75" x14ac:dyDescent="0.25">
      <c r="D17" s="20" t="s">
        <v>40</v>
      </c>
      <c r="L17" s="21">
        <v>10</v>
      </c>
      <c r="M17" s="32" t="s">
        <v>95</v>
      </c>
      <c r="N17" s="10">
        <v>2</v>
      </c>
      <c r="O17" s="10" t="s">
        <v>48</v>
      </c>
      <c r="P17" s="14" t="s">
        <v>96</v>
      </c>
    </row>
    <row r="18" spans="4:16" ht="42.75" x14ac:dyDescent="0.25">
      <c r="D18" s="44" t="s">
        <v>12</v>
      </c>
      <c r="E18" s="44" t="s">
        <v>13</v>
      </c>
      <c r="F18" s="44" t="s">
        <v>14</v>
      </c>
      <c r="G18" s="44" t="s">
        <v>15</v>
      </c>
      <c r="H18" s="44" t="s">
        <v>16</v>
      </c>
      <c r="I18" s="44" t="s">
        <v>17</v>
      </c>
      <c r="J18" s="44" t="s">
        <v>18</v>
      </c>
      <c r="L18" s="21">
        <v>11</v>
      </c>
      <c r="M18" s="32" t="s">
        <v>34</v>
      </c>
      <c r="N18" s="10">
        <v>6</v>
      </c>
      <c r="O18" s="10" t="s">
        <v>27</v>
      </c>
    </row>
    <row r="19" spans="4:16" ht="15.75" x14ac:dyDescent="0.25">
      <c r="D19" s="10" t="s">
        <v>72</v>
      </c>
      <c r="E19" s="11">
        <v>200</v>
      </c>
      <c r="F19" s="11">
        <v>360</v>
      </c>
      <c r="G19" s="11">
        <v>6</v>
      </c>
      <c r="H19" s="11">
        <v>0.6</v>
      </c>
      <c r="I19" s="11">
        <v>79.599999999999994</v>
      </c>
      <c r="J19" s="11">
        <v>0</v>
      </c>
      <c r="L19" s="21">
        <v>12</v>
      </c>
      <c r="M19" s="32" t="s">
        <v>36</v>
      </c>
      <c r="N19" s="10">
        <v>2</v>
      </c>
      <c r="O19" s="10" t="s">
        <v>27</v>
      </c>
    </row>
    <row r="20" spans="4:16" ht="15.75" x14ac:dyDescent="0.25">
      <c r="D20" s="10" t="s">
        <v>114</v>
      </c>
      <c r="E20" s="11">
        <v>60</v>
      </c>
      <c r="F20" s="11">
        <v>178.8</v>
      </c>
      <c r="G20" s="11">
        <v>10.92</v>
      </c>
      <c r="H20" s="11">
        <v>15</v>
      </c>
      <c r="I20" s="11">
        <v>0</v>
      </c>
      <c r="J20" s="11">
        <v>0</v>
      </c>
      <c r="L20" s="21">
        <v>13</v>
      </c>
      <c r="M20" s="32" t="s">
        <v>87</v>
      </c>
      <c r="N20" s="10">
        <v>1</v>
      </c>
      <c r="O20" s="10" t="s">
        <v>27</v>
      </c>
    </row>
    <row r="21" spans="4:16" ht="15.75" x14ac:dyDescent="0.25">
      <c r="D21" s="10" t="s">
        <v>28</v>
      </c>
      <c r="E21" s="40">
        <v>25</v>
      </c>
      <c r="F21" s="40">
        <v>50.25</v>
      </c>
      <c r="G21" s="40">
        <v>5.2</v>
      </c>
      <c r="H21" s="40">
        <v>2.2000000000000002</v>
      </c>
      <c r="I21" s="40">
        <v>3.38</v>
      </c>
      <c r="J21" s="40">
        <v>0.35</v>
      </c>
      <c r="L21" s="21">
        <v>14</v>
      </c>
      <c r="M21" s="32" t="s">
        <v>39</v>
      </c>
      <c r="N21" s="10">
        <v>6</v>
      </c>
      <c r="O21" s="10" t="s">
        <v>27</v>
      </c>
    </row>
    <row r="22" spans="4:16" x14ac:dyDescent="0.25">
      <c r="D22" s="36" t="s">
        <v>117</v>
      </c>
      <c r="E22" s="41">
        <v>50</v>
      </c>
      <c r="F22" s="41">
        <v>15</v>
      </c>
      <c r="G22" s="41">
        <v>0.3</v>
      </c>
      <c r="H22" s="41">
        <v>0.05</v>
      </c>
      <c r="I22" s="41">
        <v>3.3</v>
      </c>
      <c r="J22" s="41">
        <v>3.1</v>
      </c>
      <c r="L22" s="21">
        <v>15</v>
      </c>
      <c r="M22" s="32" t="s">
        <v>41</v>
      </c>
      <c r="N22" s="10">
        <v>1</v>
      </c>
      <c r="O22" s="10" t="s">
        <v>27</v>
      </c>
    </row>
    <row r="23" spans="4:16" ht="15.75" x14ac:dyDescent="0.25">
      <c r="D23" s="10" t="s">
        <v>115</v>
      </c>
      <c r="E23" s="42">
        <v>180</v>
      </c>
      <c r="F23" s="42">
        <v>50.4</v>
      </c>
      <c r="G23" s="42">
        <v>0.9</v>
      </c>
      <c r="H23" s="42">
        <v>0.36</v>
      </c>
      <c r="I23" s="42">
        <v>12.42</v>
      </c>
      <c r="J23" s="42">
        <v>0.72</v>
      </c>
      <c r="L23" s="21">
        <v>16</v>
      </c>
      <c r="M23" s="32" t="s">
        <v>125</v>
      </c>
      <c r="N23" s="10">
        <v>1</v>
      </c>
      <c r="O23" s="10" t="s">
        <v>27</v>
      </c>
    </row>
    <row r="24" spans="4:16" ht="15.75" x14ac:dyDescent="0.25">
      <c r="D24" s="10" t="s">
        <v>33</v>
      </c>
      <c r="E24" s="11">
        <v>7.5</v>
      </c>
      <c r="F24" s="11">
        <v>66.3</v>
      </c>
      <c r="G24" s="11">
        <v>0</v>
      </c>
      <c r="H24" s="11">
        <v>7.5</v>
      </c>
      <c r="I24" s="11">
        <v>0</v>
      </c>
      <c r="J24" s="11">
        <v>0</v>
      </c>
      <c r="L24" s="27">
        <v>17</v>
      </c>
      <c r="M24" s="32" t="s">
        <v>43</v>
      </c>
      <c r="N24" s="10">
        <v>3</v>
      </c>
      <c r="O24" s="10" t="s">
        <v>27</v>
      </c>
      <c r="P24" s="14"/>
    </row>
    <row r="25" spans="4:16" x14ac:dyDescent="0.25">
      <c r="D25" s="16" t="s">
        <v>35</v>
      </c>
      <c r="E25" s="45"/>
      <c r="F25" s="45">
        <f>F19+F20+F21+F22+F23+F24</f>
        <v>720.74999999999989</v>
      </c>
      <c r="G25" s="45">
        <f>G19+G20+G21+G22+G23+G24</f>
        <v>23.32</v>
      </c>
      <c r="H25" s="45">
        <f>H19+H20+H21+H22+H23+H24</f>
        <v>25.71</v>
      </c>
      <c r="I25" s="45">
        <f>I19+I20+I21+I22+I23+I24</f>
        <v>98.699999999999989</v>
      </c>
      <c r="J25" s="45">
        <f>J19+J20+J21+J22+J23+J24</f>
        <v>4.17</v>
      </c>
      <c r="L25" s="27">
        <v>18</v>
      </c>
      <c r="M25" s="32" t="s">
        <v>33</v>
      </c>
      <c r="N25" s="10">
        <v>65</v>
      </c>
      <c r="O25" s="10" t="s">
        <v>27</v>
      </c>
      <c r="P25" s="14"/>
    </row>
    <row r="26" spans="4:16" x14ac:dyDescent="0.25">
      <c r="D26" s="18"/>
      <c r="E26" s="33"/>
      <c r="F26" s="33"/>
      <c r="G26" s="33"/>
      <c r="H26" s="33"/>
      <c r="I26" s="33"/>
      <c r="J26" s="33"/>
      <c r="L26" s="10"/>
      <c r="M26" s="31" t="s">
        <v>126</v>
      </c>
      <c r="N26" s="10"/>
      <c r="O26" s="10"/>
    </row>
    <row r="27" spans="4:16" x14ac:dyDescent="0.25">
      <c r="D27" s="33"/>
      <c r="E27" s="33"/>
      <c r="F27" s="33"/>
      <c r="G27" s="33"/>
      <c r="H27" s="33"/>
      <c r="I27" s="33"/>
      <c r="J27" s="33"/>
      <c r="L27" s="10">
        <v>19</v>
      </c>
      <c r="M27" s="32" t="s">
        <v>51</v>
      </c>
      <c r="N27" s="13">
        <v>300</v>
      </c>
      <c r="O27" s="13" t="s">
        <v>52</v>
      </c>
    </row>
    <row r="28" spans="4:16" x14ac:dyDescent="0.25">
      <c r="L28" s="10">
        <v>20</v>
      </c>
      <c r="M28" s="32" t="s">
        <v>34</v>
      </c>
      <c r="N28" s="10">
        <v>3</v>
      </c>
      <c r="O28" s="10" t="s">
        <v>27</v>
      </c>
    </row>
    <row r="29" spans="4:16" x14ac:dyDescent="0.25">
      <c r="D29" s="33"/>
      <c r="E29" s="33"/>
      <c r="F29" s="33"/>
      <c r="G29" s="33"/>
      <c r="H29" s="33"/>
      <c r="I29" s="33"/>
      <c r="J29" s="33"/>
      <c r="L29" s="10">
        <v>21</v>
      </c>
      <c r="M29" s="32" t="s">
        <v>36</v>
      </c>
      <c r="N29" s="10">
        <v>1.5</v>
      </c>
      <c r="O29" s="10" t="s">
        <v>27</v>
      </c>
    </row>
    <row r="30" spans="4:16" x14ac:dyDescent="0.25">
      <c r="L30" s="10">
        <v>22</v>
      </c>
      <c r="M30" s="32" t="s">
        <v>39</v>
      </c>
      <c r="N30" s="10">
        <v>3</v>
      </c>
      <c r="O30" s="10" t="s">
        <v>27</v>
      </c>
    </row>
    <row r="31" spans="4:16" x14ac:dyDescent="0.25">
      <c r="L31" s="10">
        <v>23</v>
      </c>
      <c r="M31" s="32" t="s">
        <v>87</v>
      </c>
      <c r="N31" s="10">
        <v>0.5</v>
      </c>
      <c r="O31" s="10" t="s">
        <v>27</v>
      </c>
    </row>
    <row r="32" spans="4:16" x14ac:dyDescent="0.25">
      <c r="L32" s="10">
        <v>24</v>
      </c>
      <c r="M32" s="32" t="s">
        <v>127</v>
      </c>
      <c r="N32" s="10">
        <v>0.5</v>
      </c>
      <c r="O32" s="10" t="s">
        <v>27</v>
      </c>
    </row>
    <row r="33" spans="12:16" x14ac:dyDescent="0.25">
      <c r="L33" s="10">
        <v>25</v>
      </c>
      <c r="M33" s="32" t="s">
        <v>116</v>
      </c>
      <c r="N33" s="10">
        <v>0.5</v>
      </c>
      <c r="O33" s="10" t="s">
        <v>27</v>
      </c>
    </row>
    <row r="34" spans="12:16" x14ac:dyDescent="0.25">
      <c r="L34" s="10">
        <v>26</v>
      </c>
      <c r="M34" s="32" t="s">
        <v>90</v>
      </c>
      <c r="N34" s="10">
        <v>25</v>
      </c>
      <c r="O34" s="10" t="s">
        <v>91</v>
      </c>
      <c r="P34" s="14" t="s">
        <v>92</v>
      </c>
    </row>
    <row r="35" spans="12:16" x14ac:dyDescent="0.25">
      <c r="L35" s="10">
        <v>27</v>
      </c>
      <c r="M35" s="32" t="s">
        <v>93</v>
      </c>
      <c r="N35" s="10">
        <v>1</v>
      </c>
      <c r="O35" s="10" t="s">
        <v>200</v>
      </c>
    </row>
    <row r="36" spans="12:16" x14ac:dyDescent="0.25">
      <c r="L36" s="10">
        <v>28</v>
      </c>
      <c r="M36" s="32" t="s">
        <v>47</v>
      </c>
      <c r="N36" s="10">
        <v>1</v>
      </c>
      <c r="O36" s="10" t="s">
        <v>48</v>
      </c>
    </row>
    <row r="37" spans="12:16" x14ac:dyDescent="0.25">
      <c r="L37" s="10">
        <v>29</v>
      </c>
      <c r="M37" s="32" t="s">
        <v>95</v>
      </c>
      <c r="N37" s="10">
        <v>1</v>
      </c>
      <c r="O37" s="10" t="s">
        <v>48</v>
      </c>
      <c r="P37" s="14" t="s">
        <v>96</v>
      </c>
    </row>
    <row r="38" spans="12:16" x14ac:dyDescent="0.25">
      <c r="L38" s="10">
        <v>30</v>
      </c>
      <c r="M38" s="32" t="s">
        <v>97</v>
      </c>
      <c r="N38" s="10"/>
      <c r="O38" s="10" t="s">
        <v>27</v>
      </c>
    </row>
    <row r="39" spans="12:16" x14ac:dyDescent="0.25">
      <c r="L39" s="10"/>
      <c r="M39" s="31" t="s">
        <v>128</v>
      </c>
      <c r="N39" s="10"/>
      <c r="O39" s="10"/>
    </row>
    <row r="40" spans="12:16" x14ac:dyDescent="0.25">
      <c r="L40" s="10">
        <v>31</v>
      </c>
      <c r="M40" s="32" t="s">
        <v>117</v>
      </c>
      <c r="N40" s="10">
        <v>140</v>
      </c>
      <c r="O40" s="10" t="s">
        <v>27</v>
      </c>
    </row>
    <row r="41" spans="12:16" x14ac:dyDescent="0.25">
      <c r="L41" s="10">
        <v>32</v>
      </c>
      <c r="M41" s="32" t="s">
        <v>36</v>
      </c>
      <c r="N41" s="10">
        <v>1</v>
      </c>
      <c r="O41" s="10" t="s">
        <v>27</v>
      </c>
    </row>
    <row r="42" spans="12:16" x14ac:dyDescent="0.25">
      <c r="L42" s="10">
        <v>33</v>
      </c>
      <c r="M42" s="32" t="s">
        <v>34</v>
      </c>
      <c r="N42" s="10">
        <v>1.5</v>
      </c>
      <c r="O42" s="10" t="s">
        <v>27</v>
      </c>
    </row>
    <row r="43" spans="12:16" x14ac:dyDescent="0.25">
      <c r="L43" s="10">
        <v>34</v>
      </c>
      <c r="M43" s="32" t="s">
        <v>104</v>
      </c>
      <c r="N43" s="10">
        <v>1.5</v>
      </c>
      <c r="O43" s="10" t="s">
        <v>27</v>
      </c>
    </row>
    <row r="44" spans="12:16" x14ac:dyDescent="0.25">
      <c r="L44" s="10">
        <v>35</v>
      </c>
      <c r="M44" s="32" t="s">
        <v>105</v>
      </c>
      <c r="N44" s="10">
        <v>1</v>
      </c>
      <c r="O44" s="10" t="s">
        <v>200</v>
      </c>
      <c r="P44" s="58"/>
    </row>
    <row r="45" spans="12:16" x14ac:dyDescent="0.25">
      <c r="L45" s="10">
        <v>36</v>
      </c>
      <c r="M45" s="32" t="s">
        <v>47</v>
      </c>
      <c r="N45" s="10">
        <v>1</v>
      </c>
      <c r="O45" s="10" t="s">
        <v>48</v>
      </c>
    </row>
    <row r="46" spans="12:16" x14ac:dyDescent="0.25">
      <c r="L46" s="10">
        <v>37</v>
      </c>
      <c r="M46" s="32" t="s">
        <v>95</v>
      </c>
      <c r="N46" s="10"/>
      <c r="O46" s="10" t="s">
        <v>55</v>
      </c>
      <c r="P46" s="14" t="s">
        <v>63</v>
      </c>
    </row>
    <row r="47" spans="12:16" x14ac:dyDescent="0.25">
      <c r="L47" s="10">
        <v>38</v>
      </c>
      <c r="M47" s="32" t="s">
        <v>97</v>
      </c>
      <c r="N47" s="10"/>
      <c r="O47" s="10" t="s">
        <v>27</v>
      </c>
    </row>
    <row r="48" spans="12:16" x14ac:dyDescent="0.25">
      <c r="L48" s="10"/>
      <c r="M48" s="31" t="s">
        <v>129</v>
      </c>
      <c r="N48" s="10"/>
      <c r="O48" s="10"/>
    </row>
    <row r="49" spans="12:15" x14ac:dyDescent="0.25">
      <c r="L49" s="10">
        <v>39</v>
      </c>
      <c r="M49" s="32" t="s">
        <v>130</v>
      </c>
      <c r="N49" s="10">
        <v>155</v>
      </c>
      <c r="O49" s="10" t="s">
        <v>27</v>
      </c>
    </row>
  </sheetData>
  <mergeCells count="2">
    <mergeCell ref="B3:H3"/>
    <mergeCell ref="B4:H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073F-48CC-4D84-A997-EAA5E33A05F9}">
  <dimension ref="B3:P38"/>
  <sheetViews>
    <sheetView topLeftCell="A15" zoomScale="86" zoomScaleNormal="86" workbookViewId="0">
      <selection activeCell="N24" sqref="N24"/>
    </sheetView>
  </sheetViews>
  <sheetFormatPr defaultRowHeight="15" x14ac:dyDescent="0.25"/>
  <cols>
    <col min="2" max="2" width="25.5703125" customWidth="1"/>
    <col min="4" max="4" width="12.42578125" customWidth="1"/>
    <col min="9" max="9" width="14.85546875" customWidth="1"/>
    <col min="12" max="12" width="7.28515625" customWidth="1"/>
    <col min="13" max="13" width="33.42578125" customWidth="1"/>
    <col min="16" max="16" width="30.140625" customWidth="1"/>
  </cols>
  <sheetData>
    <row r="3" spans="2:16" x14ac:dyDescent="0.25">
      <c r="B3" s="54" t="s">
        <v>0</v>
      </c>
      <c r="C3" s="54"/>
      <c r="D3" s="54"/>
      <c r="E3" s="54"/>
      <c r="F3" s="54"/>
      <c r="G3" s="54"/>
      <c r="H3" s="54"/>
    </row>
    <row r="4" spans="2:16" x14ac:dyDescent="0.25">
      <c r="B4" s="55" t="s">
        <v>1</v>
      </c>
      <c r="C4" s="54"/>
      <c r="D4" s="54"/>
      <c r="E4" s="54"/>
      <c r="F4" s="54"/>
      <c r="G4" s="54"/>
      <c r="H4" s="54"/>
    </row>
    <row r="5" spans="2:16" x14ac:dyDescent="0.25">
      <c r="B5" s="1" t="s">
        <v>131</v>
      </c>
      <c r="D5" s="2" t="s">
        <v>3</v>
      </c>
      <c r="L5" s="2" t="s">
        <v>4</v>
      </c>
    </row>
    <row r="6" spans="2:16" x14ac:dyDescent="0.25">
      <c r="B6" t="s">
        <v>5</v>
      </c>
      <c r="D6" s="2" t="s">
        <v>6</v>
      </c>
      <c r="L6" s="3" t="s">
        <v>7</v>
      </c>
      <c r="M6" s="3" t="s">
        <v>8</v>
      </c>
      <c r="N6" s="3" t="s">
        <v>9</v>
      </c>
      <c r="O6" s="3" t="s">
        <v>10</v>
      </c>
    </row>
    <row r="7" spans="2:16" ht="15.75" thickBot="1" x14ac:dyDescent="0.3">
      <c r="D7" s="2"/>
      <c r="L7" s="8">
        <v>1</v>
      </c>
      <c r="M7" s="32" t="s">
        <v>108</v>
      </c>
      <c r="N7" s="10">
        <v>130</v>
      </c>
      <c r="O7" s="10" t="s">
        <v>27</v>
      </c>
    </row>
    <row r="8" spans="2:16" ht="42.75" x14ac:dyDescent="0.25">
      <c r="B8" t="s">
        <v>132</v>
      </c>
      <c r="D8" s="4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6" t="s">
        <v>17</v>
      </c>
      <c r="J8" s="44" t="s">
        <v>18</v>
      </c>
      <c r="L8" s="8"/>
      <c r="M8" s="31" t="s">
        <v>133</v>
      </c>
      <c r="N8" s="10"/>
      <c r="O8" s="10"/>
    </row>
    <row r="9" spans="2:16" ht="15.75" x14ac:dyDescent="0.25">
      <c r="B9" t="s">
        <v>71</v>
      </c>
      <c r="D9" s="10" t="s">
        <v>72</v>
      </c>
      <c r="E9" s="10">
        <v>100</v>
      </c>
      <c r="F9" s="11">
        <v>180</v>
      </c>
      <c r="G9" s="11">
        <v>3</v>
      </c>
      <c r="H9" s="11">
        <v>0.3</v>
      </c>
      <c r="I9" s="11">
        <v>39.799999999999997</v>
      </c>
      <c r="J9" s="11">
        <v>0</v>
      </c>
      <c r="L9" s="8">
        <v>2</v>
      </c>
      <c r="M9" s="32" t="s">
        <v>134</v>
      </c>
      <c r="N9" s="13">
        <v>250</v>
      </c>
      <c r="O9" s="13" t="s">
        <v>27</v>
      </c>
      <c r="P9" s="14" t="s">
        <v>185</v>
      </c>
    </row>
    <row r="10" spans="2:16" ht="15.75" x14ac:dyDescent="0.25">
      <c r="B10" t="s">
        <v>135</v>
      </c>
      <c r="D10" s="10" t="s">
        <v>136</v>
      </c>
      <c r="E10" s="10">
        <v>40</v>
      </c>
      <c r="F10" s="11">
        <v>38.4</v>
      </c>
      <c r="G10" s="11">
        <v>8.0299999999999994</v>
      </c>
      <c r="H10" s="11">
        <v>0.68</v>
      </c>
      <c r="I10" s="11">
        <v>0</v>
      </c>
      <c r="J10" s="11">
        <v>0</v>
      </c>
      <c r="L10" s="8">
        <v>3</v>
      </c>
      <c r="M10" s="32" t="s">
        <v>34</v>
      </c>
      <c r="N10" s="10">
        <v>6</v>
      </c>
      <c r="O10" s="10" t="s">
        <v>27</v>
      </c>
    </row>
    <row r="11" spans="2:16" ht="15.75" x14ac:dyDescent="0.25">
      <c r="B11" t="s">
        <v>137</v>
      </c>
      <c r="D11" s="10" t="s">
        <v>99</v>
      </c>
      <c r="E11" s="11">
        <v>27.5</v>
      </c>
      <c r="F11" s="11">
        <v>22</v>
      </c>
      <c r="G11" s="11">
        <v>3</v>
      </c>
      <c r="H11" s="11">
        <v>1.29</v>
      </c>
      <c r="I11" s="11">
        <v>0.22</v>
      </c>
      <c r="J11" s="11">
        <v>0.03</v>
      </c>
      <c r="L11" s="8">
        <v>4</v>
      </c>
      <c r="M11" s="32" t="s">
        <v>36</v>
      </c>
      <c r="N11" s="10">
        <v>3</v>
      </c>
      <c r="O11" s="10" t="s">
        <v>27</v>
      </c>
    </row>
    <row r="12" spans="2:16" ht="15.75" x14ac:dyDescent="0.25">
      <c r="D12" s="10" t="s">
        <v>138</v>
      </c>
      <c r="E12" s="40">
        <v>50</v>
      </c>
      <c r="F12" s="40">
        <v>4.5</v>
      </c>
      <c r="G12" s="40">
        <v>0.5</v>
      </c>
      <c r="H12" s="40">
        <v>0.05</v>
      </c>
      <c r="I12" s="40">
        <v>0.85</v>
      </c>
      <c r="J12" s="40">
        <v>0.4</v>
      </c>
      <c r="L12" s="8">
        <v>5</v>
      </c>
      <c r="M12" s="32" t="s">
        <v>87</v>
      </c>
      <c r="N12" s="10">
        <v>1</v>
      </c>
      <c r="O12" s="10" t="s">
        <v>27</v>
      </c>
    </row>
    <row r="13" spans="2:16" x14ac:dyDescent="0.25">
      <c r="D13" s="36" t="s">
        <v>139</v>
      </c>
      <c r="E13" s="41">
        <v>93</v>
      </c>
      <c r="F13" s="41">
        <v>71.900000000000006</v>
      </c>
      <c r="G13" s="41">
        <v>0.3</v>
      </c>
      <c r="H13" s="41">
        <v>0</v>
      </c>
      <c r="I13" s="41">
        <v>19.5</v>
      </c>
      <c r="J13" s="41">
        <v>0</v>
      </c>
      <c r="L13" s="8">
        <v>6</v>
      </c>
      <c r="M13" s="32" t="s">
        <v>140</v>
      </c>
      <c r="N13" s="10">
        <v>10</v>
      </c>
      <c r="O13" s="10" t="s">
        <v>27</v>
      </c>
    </row>
    <row r="14" spans="2:16" ht="15.75" x14ac:dyDescent="0.25">
      <c r="D14" s="10" t="s">
        <v>33</v>
      </c>
      <c r="E14" s="42">
        <v>5</v>
      </c>
      <c r="F14" s="42">
        <v>44.2</v>
      </c>
      <c r="G14" s="42">
        <v>0</v>
      </c>
      <c r="H14" s="42">
        <v>5</v>
      </c>
      <c r="I14" s="42">
        <v>0</v>
      </c>
      <c r="J14" s="42">
        <v>0</v>
      </c>
      <c r="L14" s="8">
        <v>7</v>
      </c>
      <c r="M14" s="32" t="s">
        <v>141</v>
      </c>
      <c r="N14" s="10">
        <v>35</v>
      </c>
      <c r="O14" s="10" t="s">
        <v>27</v>
      </c>
    </row>
    <row r="15" spans="2:16" x14ac:dyDescent="0.25">
      <c r="D15" s="16" t="s">
        <v>35</v>
      </c>
      <c r="E15" s="46"/>
      <c r="F15" s="47">
        <f>F9+F10+F11+F12+F13+F14</f>
        <v>361</v>
      </c>
      <c r="G15" s="47">
        <f>G9+G10+G11+G12+G13+G14</f>
        <v>14.83</v>
      </c>
      <c r="H15" s="47">
        <f>H9+H10+H11+H12+H13+H14</f>
        <v>7.32</v>
      </c>
      <c r="I15" s="47">
        <f>I9+I10+I11+I12+I13+I14</f>
        <v>60.37</v>
      </c>
      <c r="J15" s="47">
        <f>J9+J10+J11+J12+J13+J14</f>
        <v>0.43000000000000005</v>
      </c>
      <c r="L15" s="8">
        <v>8</v>
      </c>
      <c r="M15" s="32" t="s">
        <v>142</v>
      </c>
      <c r="N15" s="10">
        <v>1</v>
      </c>
      <c r="O15" s="10" t="s">
        <v>27</v>
      </c>
      <c r="P15" s="15"/>
    </row>
    <row r="16" spans="2:16" x14ac:dyDescent="0.25">
      <c r="D16" s="48"/>
      <c r="L16" s="10">
        <v>9</v>
      </c>
      <c r="M16" s="32" t="s">
        <v>143</v>
      </c>
      <c r="N16" s="10">
        <v>2</v>
      </c>
      <c r="O16" s="10" t="s">
        <v>30</v>
      </c>
      <c r="P16" s="15"/>
    </row>
    <row r="17" spans="4:16" ht="15.75" x14ac:dyDescent="0.25">
      <c r="D17" s="20" t="s">
        <v>40</v>
      </c>
      <c r="L17" s="10">
        <v>10</v>
      </c>
      <c r="M17" s="32" t="s">
        <v>64</v>
      </c>
      <c r="N17" s="10">
        <v>1</v>
      </c>
      <c r="O17" s="10" t="s">
        <v>144</v>
      </c>
      <c r="P17" s="15"/>
    </row>
    <row r="18" spans="4:16" ht="42.75" x14ac:dyDescent="0.25">
      <c r="D18" s="44" t="s">
        <v>12</v>
      </c>
      <c r="E18" s="44" t="s">
        <v>13</v>
      </c>
      <c r="F18" s="44" t="s">
        <v>14</v>
      </c>
      <c r="G18" s="44" t="s">
        <v>15</v>
      </c>
      <c r="H18" s="44" t="s">
        <v>16</v>
      </c>
      <c r="I18" s="44" t="s">
        <v>17</v>
      </c>
      <c r="J18" s="44" t="s">
        <v>18</v>
      </c>
      <c r="L18" s="10">
        <v>11</v>
      </c>
      <c r="M18" s="32" t="s">
        <v>76</v>
      </c>
      <c r="N18" s="10">
        <v>1</v>
      </c>
      <c r="O18" s="10" t="s">
        <v>27</v>
      </c>
    </row>
    <row r="19" spans="4:16" ht="15.75" x14ac:dyDescent="0.25">
      <c r="D19" s="10" t="s">
        <v>72</v>
      </c>
      <c r="E19" s="22">
        <v>200</v>
      </c>
      <c r="F19" s="11">
        <v>360</v>
      </c>
      <c r="G19" s="11">
        <v>6</v>
      </c>
      <c r="H19" s="11">
        <v>0.6</v>
      </c>
      <c r="I19" s="11">
        <v>79.599999999999994</v>
      </c>
      <c r="J19" s="11">
        <v>0</v>
      </c>
      <c r="L19" s="21">
        <v>12</v>
      </c>
      <c r="M19" s="32" t="s">
        <v>145</v>
      </c>
      <c r="N19" s="10">
        <v>1</v>
      </c>
      <c r="O19" s="10" t="s">
        <v>27</v>
      </c>
    </row>
    <row r="20" spans="4:16" ht="15.75" x14ac:dyDescent="0.25">
      <c r="D20" s="10" t="s">
        <v>136</v>
      </c>
      <c r="E20" s="22">
        <v>60</v>
      </c>
      <c r="F20" s="11">
        <v>57.6</v>
      </c>
      <c r="G20" s="11">
        <v>12.05</v>
      </c>
      <c r="H20" s="11">
        <v>1.02</v>
      </c>
      <c r="I20" s="11">
        <v>0</v>
      </c>
      <c r="J20" s="11">
        <v>0</v>
      </c>
      <c r="L20" s="21">
        <v>13</v>
      </c>
      <c r="M20" s="32" t="s">
        <v>116</v>
      </c>
      <c r="N20" s="10">
        <v>0.5</v>
      </c>
      <c r="O20" s="10" t="s">
        <v>27</v>
      </c>
    </row>
    <row r="21" spans="4:16" ht="15.75" x14ac:dyDescent="0.25">
      <c r="D21" s="10" t="s">
        <v>146</v>
      </c>
      <c r="E21" s="11">
        <v>55</v>
      </c>
      <c r="F21" s="11">
        <v>44</v>
      </c>
      <c r="G21" s="11">
        <v>6</v>
      </c>
      <c r="H21" s="11">
        <v>2.58</v>
      </c>
      <c r="I21" s="11">
        <v>0.44</v>
      </c>
      <c r="J21" s="11">
        <v>0.06</v>
      </c>
      <c r="L21" s="21">
        <v>14</v>
      </c>
      <c r="M21" s="32" t="s">
        <v>97</v>
      </c>
      <c r="N21" s="10">
        <v>65</v>
      </c>
      <c r="O21" s="10" t="s">
        <v>27</v>
      </c>
    </row>
    <row r="22" spans="4:16" ht="15.75" x14ac:dyDescent="0.25">
      <c r="D22" s="10" t="s">
        <v>138</v>
      </c>
      <c r="E22" s="40">
        <v>50</v>
      </c>
      <c r="F22" s="40">
        <v>4.5</v>
      </c>
      <c r="G22" s="40">
        <v>0.5</v>
      </c>
      <c r="H22" s="40">
        <v>0.05</v>
      </c>
      <c r="I22" s="40">
        <v>0.85</v>
      </c>
      <c r="J22" s="40">
        <v>0.4</v>
      </c>
      <c r="L22" s="21"/>
      <c r="M22" s="31" t="s">
        <v>147</v>
      </c>
      <c r="N22" s="10"/>
      <c r="O22" s="10"/>
    </row>
    <row r="23" spans="4:16" x14ac:dyDescent="0.25">
      <c r="D23" s="36" t="s">
        <v>139</v>
      </c>
      <c r="E23" s="41">
        <v>93</v>
      </c>
      <c r="F23" s="41">
        <v>71.900000000000006</v>
      </c>
      <c r="G23" s="41">
        <v>0.3</v>
      </c>
      <c r="H23" s="41">
        <v>0</v>
      </c>
      <c r="I23" s="41">
        <v>19.5</v>
      </c>
      <c r="J23" s="41">
        <v>0</v>
      </c>
      <c r="L23" s="10">
        <v>15</v>
      </c>
      <c r="M23" s="9" t="s">
        <v>99</v>
      </c>
      <c r="N23" s="13">
        <v>16.5</v>
      </c>
      <c r="O23" s="13" t="s">
        <v>52</v>
      </c>
      <c r="P23" s="14" t="s">
        <v>100</v>
      </c>
    </row>
    <row r="24" spans="4:16" ht="15.75" x14ac:dyDescent="0.25">
      <c r="D24" s="10" t="s">
        <v>33</v>
      </c>
      <c r="E24" s="42">
        <v>7.5</v>
      </c>
      <c r="F24" s="42">
        <v>66.3</v>
      </c>
      <c r="G24" s="42">
        <v>0</v>
      </c>
      <c r="H24" s="42">
        <v>7.5</v>
      </c>
      <c r="I24" s="42">
        <v>0</v>
      </c>
      <c r="J24" s="42">
        <v>0</v>
      </c>
      <c r="L24" s="10">
        <v>16</v>
      </c>
      <c r="M24" s="9" t="s">
        <v>53</v>
      </c>
      <c r="N24" s="10">
        <v>4</v>
      </c>
      <c r="O24" s="10" t="s">
        <v>27</v>
      </c>
    </row>
    <row r="25" spans="4:16" x14ac:dyDescent="0.25">
      <c r="D25" s="16" t="s">
        <v>35</v>
      </c>
      <c r="E25" s="16"/>
      <c r="F25" s="16">
        <f>F19+F20+F21+F22+F23+F24</f>
        <v>604.29999999999995</v>
      </c>
      <c r="G25" s="16">
        <f>G19+G20+G21+G22+G23+G24</f>
        <v>24.85</v>
      </c>
      <c r="H25" s="16">
        <f>H19+H20+H21+H22+H23+H24</f>
        <v>11.75</v>
      </c>
      <c r="I25" s="16">
        <f>I19+I20+I21+I22+I23+I24</f>
        <v>100.38999999999999</v>
      </c>
      <c r="J25" s="16">
        <f>J19+J20+J21+J22+J23+J24</f>
        <v>0.46</v>
      </c>
      <c r="L25" s="10">
        <v>17</v>
      </c>
      <c r="M25" s="9" t="s">
        <v>54</v>
      </c>
      <c r="N25" s="10">
        <v>1</v>
      </c>
      <c r="O25" s="10" t="s">
        <v>55</v>
      </c>
      <c r="P25" s="14"/>
    </row>
    <row r="26" spans="4:16" x14ac:dyDescent="0.25">
      <c r="D26" s="29"/>
      <c r="L26" s="10">
        <v>18</v>
      </c>
      <c r="M26" s="9" t="s">
        <v>57</v>
      </c>
      <c r="N26" s="10"/>
      <c r="O26" s="10" t="s">
        <v>55</v>
      </c>
      <c r="P26" s="14" t="s">
        <v>94</v>
      </c>
    </row>
    <row r="27" spans="4:16" x14ac:dyDescent="0.25">
      <c r="D27" s="18"/>
      <c r="E27" s="33"/>
      <c r="F27" s="33"/>
      <c r="G27" s="33"/>
      <c r="H27" s="33"/>
      <c r="I27" s="33"/>
      <c r="J27" s="33"/>
      <c r="L27" s="10">
        <v>19</v>
      </c>
      <c r="M27" s="9" t="s">
        <v>33</v>
      </c>
      <c r="N27" s="10"/>
      <c r="O27" s="10" t="s">
        <v>27</v>
      </c>
    </row>
    <row r="28" spans="4:16" x14ac:dyDescent="0.25">
      <c r="D28" s="33"/>
      <c r="E28" s="33"/>
      <c r="F28" s="33"/>
      <c r="G28" s="33"/>
      <c r="H28" s="33"/>
      <c r="I28" s="33"/>
      <c r="J28" s="33"/>
      <c r="L28" s="10"/>
      <c r="M28" s="31" t="s">
        <v>148</v>
      </c>
      <c r="N28" s="10"/>
      <c r="O28" s="10"/>
    </row>
    <row r="29" spans="4:16" x14ac:dyDescent="0.25">
      <c r="L29" s="10">
        <v>20</v>
      </c>
      <c r="M29" s="32" t="s">
        <v>149</v>
      </c>
      <c r="N29" s="10">
        <v>150</v>
      </c>
      <c r="O29" s="10" t="s">
        <v>27</v>
      </c>
    </row>
    <row r="30" spans="4:16" x14ac:dyDescent="0.25">
      <c r="D30" s="33"/>
      <c r="E30" s="33"/>
      <c r="F30" s="33"/>
      <c r="G30" s="33"/>
      <c r="H30" s="33"/>
      <c r="I30" s="33"/>
      <c r="J30" s="33"/>
      <c r="L30" s="10">
        <v>21</v>
      </c>
      <c r="M30" s="32" t="s">
        <v>36</v>
      </c>
      <c r="N30" s="10">
        <v>1</v>
      </c>
      <c r="O30" s="10" t="s">
        <v>27</v>
      </c>
    </row>
    <row r="31" spans="4:16" x14ac:dyDescent="0.25">
      <c r="L31" s="10">
        <v>22</v>
      </c>
      <c r="M31" s="32" t="s">
        <v>34</v>
      </c>
      <c r="N31" s="10">
        <v>1.5</v>
      </c>
      <c r="O31" s="10" t="s">
        <v>27</v>
      </c>
    </row>
    <row r="32" spans="4:16" x14ac:dyDescent="0.25">
      <c r="L32" s="10">
        <v>23</v>
      </c>
      <c r="M32" s="32" t="s">
        <v>104</v>
      </c>
      <c r="N32" s="10">
        <v>1.5</v>
      </c>
      <c r="O32" s="10" t="s">
        <v>27</v>
      </c>
    </row>
    <row r="33" spans="12:16" x14ac:dyDescent="0.25">
      <c r="L33" s="10">
        <v>24</v>
      </c>
      <c r="M33" s="32" t="s">
        <v>105</v>
      </c>
      <c r="N33" s="10">
        <v>1</v>
      </c>
      <c r="O33" s="10" t="s">
        <v>200</v>
      </c>
    </row>
    <row r="34" spans="12:16" x14ac:dyDescent="0.25">
      <c r="L34" s="10">
        <v>25</v>
      </c>
      <c r="M34" s="32" t="s">
        <v>80</v>
      </c>
      <c r="N34" s="10">
        <v>2</v>
      </c>
      <c r="O34" s="10" t="s">
        <v>48</v>
      </c>
    </row>
    <row r="35" spans="12:16" x14ac:dyDescent="0.25">
      <c r="L35" s="10">
        <v>26</v>
      </c>
      <c r="M35" s="32" t="s">
        <v>95</v>
      </c>
      <c r="N35" s="10">
        <v>1</v>
      </c>
      <c r="O35" s="10" t="s">
        <v>48</v>
      </c>
      <c r="P35" s="14" t="s">
        <v>96</v>
      </c>
    </row>
    <row r="36" spans="12:16" x14ac:dyDescent="0.25">
      <c r="L36" s="10">
        <v>27</v>
      </c>
      <c r="M36" s="32" t="s">
        <v>97</v>
      </c>
      <c r="N36" s="10"/>
      <c r="O36" s="10" t="s">
        <v>27</v>
      </c>
    </row>
    <row r="37" spans="12:16" x14ac:dyDescent="0.25">
      <c r="L37" s="10"/>
      <c r="M37" s="31" t="s">
        <v>66</v>
      </c>
      <c r="N37" s="10"/>
      <c r="O37" s="10"/>
    </row>
    <row r="38" spans="12:16" x14ac:dyDescent="0.25">
      <c r="L38" s="10">
        <v>28</v>
      </c>
      <c r="M38" s="32" t="s">
        <v>139</v>
      </c>
      <c r="N38" s="10">
        <v>102</v>
      </c>
      <c r="O38" s="10" t="s">
        <v>27</v>
      </c>
    </row>
  </sheetData>
  <mergeCells count="2">
    <mergeCell ref="B3:H3"/>
    <mergeCell ref="B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6328-3133-41CA-936B-3F348475F2B4}">
  <dimension ref="B3:P36"/>
  <sheetViews>
    <sheetView topLeftCell="A11" zoomScale="73" zoomScaleNormal="73" workbookViewId="0">
      <selection activeCell="O34" sqref="O34"/>
    </sheetView>
  </sheetViews>
  <sheetFormatPr defaultRowHeight="15" x14ac:dyDescent="0.25"/>
  <cols>
    <col min="2" max="2" width="21.85546875" customWidth="1"/>
    <col min="4" max="4" width="15" customWidth="1"/>
    <col min="9" max="9" width="15" customWidth="1"/>
    <col min="13" max="13" width="39.140625" customWidth="1"/>
    <col min="16" max="16" width="24.42578125" customWidth="1"/>
  </cols>
  <sheetData>
    <row r="3" spans="2:16" x14ac:dyDescent="0.25">
      <c r="B3" s="54" t="s">
        <v>0</v>
      </c>
      <c r="C3" s="54"/>
      <c r="D3" s="54"/>
      <c r="E3" s="54"/>
      <c r="F3" s="54"/>
      <c r="G3" s="54"/>
      <c r="H3" s="54"/>
    </row>
    <row r="4" spans="2:16" x14ac:dyDescent="0.25">
      <c r="B4" s="55" t="s">
        <v>1</v>
      </c>
      <c r="C4" s="54"/>
      <c r="D4" s="54"/>
      <c r="E4" s="54"/>
      <c r="F4" s="54"/>
      <c r="G4" s="54"/>
      <c r="H4" s="54"/>
    </row>
    <row r="5" spans="2:16" x14ac:dyDescent="0.25">
      <c r="B5" s="1" t="s">
        <v>150</v>
      </c>
      <c r="D5" s="2" t="s">
        <v>3</v>
      </c>
      <c r="L5" s="2" t="s">
        <v>4</v>
      </c>
    </row>
    <row r="6" spans="2:16" x14ac:dyDescent="0.25">
      <c r="B6" t="s">
        <v>151</v>
      </c>
      <c r="D6" s="2" t="s">
        <v>6</v>
      </c>
      <c r="L6" s="3" t="s">
        <v>7</v>
      </c>
      <c r="M6" s="3" t="s">
        <v>8</v>
      </c>
      <c r="N6" s="3" t="s">
        <v>9</v>
      </c>
      <c r="O6" s="3" t="s">
        <v>10</v>
      </c>
    </row>
    <row r="7" spans="2:16" ht="15.75" thickBot="1" x14ac:dyDescent="0.3">
      <c r="D7" s="2"/>
      <c r="M7" s="15" t="s">
        <v>152</v>
      </c>
    </row>
    <row r="8" spans="2:16" ht="42.75" x14ac:dyDescent="0.25">
      <c r="B8" t="s">
        <v>153</v>
      </c>
      <c r="D8" s="4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6" t="s">
        <v>17</v>
      </c>
      <c r="J8" s="7" t="s">
        <v>18</v>
      </c>
      <c r="L8" s="8">
        <v>1</v>
      </c>
      <c r="M8" s="32" t="s">
        <v>154</v>
      </c>
      <c r="N8" s="10">
        <v>236</v>
      </c>
      <c r="O8" s="10" t="s">
        <v>20</v>
      </c>
    </row>
    <row r="9" spans="2:16" ht="15.75" x14ac:dyDescent="0.25">
      <c r="B9" t="s">
        <v>155</v>
      </c>
      <c r="D9" s="10" t="s">
        <v>156</v>
      </c>
      <c r="E9" s="11">
        <v>40</v>
      </c>
      <c r="F9" s="11">
        <v>119.2</v>
      </c>
      <c r="G9" s="11">
        <v>7.28</v>
      </c>
      <c r="H9" s="11">
        <v>10</v>
      </c>
      <c r="I9" s="11">
        <v>0</v>
      </c>
      <c r="J9" s="11">
        <v>0</v>
      </c>
      <c r="L9" s="8">
        <v>2</v>
      </c>
      <c r="M9" s="32" t="s">
        <v>36</v>
      </c>
      <c r="N9" s="36">
        <v>6</v>
      </c>
      <c r="O9" s="10" t="s">
        <v>27</v>
      </c>
    </row>
    <row r="10" spans="2:16" ht="15.75" x14ac:dyDescent="0.25">
      <c r="B10" t="s">
        <v>157</v>
      </c>
      <c r="D10" s="10" t="s">
        <v>158</v>
      </c>
      <c r="E10" s="11">
        <v>105</v>
      </c>
      <c r="F10" s="11">
        <v>65.099999999999994</v>
      </c>
      <c r="G10" s="11">
        <v>2.21</v>
      </c>
      <c r="H10" s="11">
        <v>0.21</v>
      </c>
      <c r="I10" s="11">
        <v>14.18</v>
      </c>
      <c r="J10" s="11">
        <v>0.53</v>
      </c>
      <c r="L10" s="8">
        <v>3</v>
      </c>
      <c r="M10" s="32" t="s">
        <v>159</v>
      </c>
      <c r="N10" s="36"/>
      <c r="O10" s="10" t="s">
        <v>27</v>
      </c>
      <c r="P10" t="s">
        <v>94</v>
      </c>
    </row>
    <row r="11" spans="2:16" ht="15.75" x14ac:dyDescent="0.25">
      <c r="D11" s="10" t="s">
        <v>160</v>
      </c>
      <c r="E11" s="11">
        <v>15</v>
      </c>
      <c r="F11" s="11">
        <v>5.0999999999999996</v>
      </c>
      <c r="G11" s="11">
        <v>0.36</v>
      </c>
      <c r="H11" s="11">
        <v>0.04</v>
      </c>
      <c r="I11" s="11">
        <v>1.08</v>
      </c>
      <c r="J11" s="11">
        <v>0.28000000000000003</v>
      </c>
      <c r="L11" s="8">
        <v>4</v>
      </c>
      <c r="M11" s="32" t="s">
        <v>161</v>
      </c>
      <c r="N11" s="36">
        <v>65</v>
      </c>
      <c r="O11" s="10" t="s">
        <v>27</v>
      </c>
    </row>
    <row r="12" spans="2:16" ht="15.75" x14ac:dyDescent="0.25">
      <c r="D12" s="10" t="s">
        <v>162</v>
      </c>
      <c r="E12" s="11">
        <v>20</v>
      </c>
      <c r="F12" s="11">
        <v>29.4</v>
      </c>
      <c r="G12" s="11">
        <v>1.02</v>
      </c>
      <c r="H12" s="11">
        <v>0.14000000000000001</v>
      </c>
      <c r="I12" s="11">
        <v>6.3</v>
      </c>
      <c r="J12" s="11">
        <v>0.26</v>
      </c>
      <c r="L12" s="8">
        <v>5</v>
      </c>
      <c r="M12" s="32" t="s">
        <v>163</v>
      </c>
      <c r="N12" s="36">
        <v>4</v>
      </c>
      <c r="O12" s="10" t="s">
        <v>62</v>
      </c>
    </row>
    <row r="13" spans="2:16" ht="15.75" x14ac:dyDescent="0.25">
      <c r="D13" s="10" t="s">
        <v>164</v>
      </c>
      <c r="E13" s="11">
        <v>15</v>
      </c>
      <c r="F13" s="11">
        <v>5.4</v>
      </c>
      <c r="G13" s="11">
        <v>0.15</v>
      </c>
      <c r="H13" s="11">
        <v>0.09</v>
      </c>
      <c r="I13" s="11">
        <v>1.19</v>
      </c>
      <c r="J13" s="11">
        <v>0.15</v>
      </c>
      <c r="L13" s="8">
        <v>6</v>
      </c>
      <c r="M13" s="32" t="s">
        <v>80</v>
      </c>
      <c r="N13" s="36">
        <v>2</v>
      </c>
      <c r="O13" s="10" t="s">
        <v>30</v>
      </c>
    </row>
    <row r="14" spans="2:16" ht="15.75" x14ac:dyDescent="0.25">
      <c r="D14" s="10" t="s">
        <v>157</v>
      </c>
      <c r="E14" s="11">
        <v>60</v>
      </c>
      <c r="F14" s="11">
        <v>37.799999999999997</v>
      </c>
      <c r="G14" s="11">
        <v>0.6</v>
      </c>
      <c r="H14" s="11">
        <v>0.12</v>
      </c>
      <c r="I14" s="11">
        <v>9.66</v>
      </c>
      <c r="J14" s="11">
        <v>2.58</v>
      </c>
      <c r="L14" s="10">
        <v>7</v>
      </c>
      <c r="M14" s="32" t="s">
        <v>165</v>
      </c>
      <c r="N14" s="36">
        <v>14</v>
      </c>
      <c r="O14" s="10" t="s">
        <v>27</v>
      </c>
    </row>
    <row r="15" spans="2:16" ht="15.75" x14ac:dyDescent="0.25">
      <c r="D15" s="10" t="s">
        <v>33</v>
      </c>
      <c r="E15" s="11">
        <v>5</v>
      </c>
      <c r="F15" s="11">
        <v>44.2</v>
      </c>
      <c r="G15" s="11">
        <v>0</v>
      </c>
      <c r="H15" s="11">
        <v>5</v>
      </c>
      <c r="I15" s="11">
        <v>0</v>
      </c>
      <c r="J15" s="11">
        <v>0</v>
      </c>
      <c r="L15" s="10">
        <v>8</v>
      </c>
      <c r="M15" s="32" t="s">
        <v>166</v>
      </c>
      <c r="N15" s="36">
        <v>10</v>
      </c>
      <c r="O15" s="10" t="s">
        <v>27</v>
      </c>
    </row>
    <row r="16" spans="2:16" ht="15.75" x14ac:dyDescent="0.25">
      <c r="D16" s="16" t="s">
        <v>35</v>
      </c>
      <c r="E16" s="16"/>
      <c r="F16" s="49">
        <v>306.2</v>
      </c>
      <c r="G16" s="49">
        <v>11.62</v>
      </c>
      <c r="H16" s="49">
        <v>15.6</v>
      </c>
      <c r="I16" s="49">
        <v>32.409999999999997</v>
      </c>
      <c r="J16" s="49">
        <v>3.8</v>
      </c>
      <c r="L16" s="10">
        <v>9</v>
      </c>
      <c r="M16" s="32" t="s">
        <v>93</v>
      </c>
      <c r="N16" s="36">
        <v>2</v>
      </c>
      <c r="O16" s="10" t="s">
        <v>200</v>
      </c>
    </row>
    <row r="17" spans="4:16" ht="15.75" x14ac:dyDescent="0.25">
      <c r="D17" s="29"/>
      <c r="F17" s="19"/>
      <c r="G17" s="19"/>
      <c r="H17" s="19"/>
      <c r="I17" s="19"/>
      <c r="J17" s="19"/>
      <c r="L17" s="21">
        <v>10</v>
      </c>
      <c r="M17" s="32" t="s">
        <v>90</v>
      </c>
      <c r="N17" s="10">
        <v>15</v>
      </c>
      <c r="O17" s="10" t="s">
        <v>91</v>
      </c>
      <c r="P17" s="14" t="s">
        <v>92</v>
      </c>
    </row>
    <row r="18" spans="4:16" ht="15.75" x14ac:dyDescent="0.25">
      <c r="D18" s="20" t="s">
        <v>40</v>
      </c>
      <c r="L18" s="21">
        <v>11</v>
      </c>
      <c r="M18" s="32" t="s">
        <v>167</v>
      </c>
      <c r="N18" s="36">
        <v>10</v>
      </c>
      <c r="O18" s="10" t="s">
        <v>27</v>
      </c>
    </row>
    <row r="19" spans="4:16" ht="42.75" x14ac:dyDescent="0.25">
      <c r="D19" s="44" t="s">
        <v>12</v>
      </c>
      <c r="E19" s="44" t="s">
        <v>13</v>
      </c>
      <c r="F19" s="44" t="s">
        <v>14</v>
      </c>
      <c r="G19" s="44" t="s">
        <v>15</v>
      </c>
      <c r="H19" s="44" t="s">
        <v>16</v>
      </c>
      <c r="I19" s="44" t="s">
        <v>17</v>
      </c>
      <c r="J19" s="44" t="s">
        <v>18</v>
      </c>
      <c r="L19" s="21">
        <v>12</v>
      </c>
      <c r="M19" s="32" t="s">
        <v>142</v>
      </c>
      <c r="N19" s="36"/>
      <c r="O19" s="10" t="s">
        <v>27</v>
      </c>
      <c r="P19" t="s">
        <v>94</v>
      </c>
    </row>
    <row r="20" spans="4:16" ht="15.75" x14ac:dyDescent="0.25">
      <c r="D20" s="10" t="s">
        <v>156</v>
      </c>
      <c r="E20" s="11">
        <v>60</v>
      </c>
      <c r="F20" s="11">
        <v>178.8</v>
      </c>
      <c r="G20" s="11">
        <v>10.92</v>
      </c>
      <c r="H20" s="11">
        <v>15</v>
      </c>
      <c r="I20" s="11">
        <v>0</v>
      </c>
      <c r="J20" s="11">
        <v>0</v>
      </c>
      <c r="L20" s="21">
        <v>13</v>
      </c>
      <c r="M20" s="32" t="s">
        <v>168</v>
      </c>
      <c r="N20" s="10">
        <v>1</v>
      </c>
      <c r="O20" s="10" t="s">
        <v>55</v>
      </c>
      <c r="P20" s="15" t="s">
        <v>56</v>
      </c>
    </row>
    <row r="21" spans="4:16" ht="15.75" x14ac:dyDescent="0.25">
      <c r="D21" s="10" t="s">
        <v>158</v>
      </c>
      <c r="E21" s="11">
        <v>210</v>
      </c>
      <c r="F21" s="11">
        <v>130.19999999999999</v>
      </c>
      <c r="G21" s="11">
        <v>4.41</v>
      </c>
      <c r="H21" s="11">
        <v>0.42</v>
      </c>
      <c r="I21" s="11">
        <v>28.35</v>
      </c>
      <c r="J21" s="11">
        <v>1.05</v>
      </c>
      <c r="L21" s="21">
        <v>14</v>
      </c>
      <c r="M21" s="32" t="s">
        <v>95</v>
      </c>
      <c r="N21" s="10">
        <v>1</v>
      </c>
      <c r="O21" s="10" t="s">
        <v>48</v>
      </c>
      <c r="P21" s="14" t="s">
        <v>96</v>
      </c>
    </row>
    <row r="22" spans="4:16" ht="15.75" x14ac:dyDescent="0.25">
      <c r="D22" s="10" t="s">
        <v>160</v>
      </c>
      <c r="E22" s="11">
        <v>15</v>
      </c>
      <c r="F22" s="11">
        <v>5.0999999999999996</v>
      </c>
      <c r="G22" s="11">
        <v>0.36</v>
      </c>
      <c r="H22" s="11">
        <v>0.04</v>
      </c>
      <c r="I22" s="11">
        <v>1.08</v>
      </c>
      <c r="J22" s="11">
        <v>0.28000000000000003</v>
      </c>
      <c r="L22" s="21">
        <v>15</v>
      </c>
      <c r="M22" s="32" t="s">
        <v>97</v>
      </c>
      <c r="N22" s="36">
        <v>65</v>
      </c>
      <c r="O22" s="10" t="s">
        <v>27</v>
      </c>
    </row>
    <row r="23" spans="4:16" ht="15.75" x14ac:dyDescent="0.25">
      <c r="D23" s="10" t="s">
        <v>162</v>
      </c>
      <c r="E23" s="11">
        <v>20</v>
      </c>
      <c r="F23" s="11">
        <v>29.4</v>
      </c>
      <c r="G23" s="11">
        <v>1.02</v>
      </c>
      <c r="H23" s="11">
        <v>0.14000000000000001</v>
      </c>
      <c r="I23" s="11">
        <v>6.3</v>
      </c>
      <c r="J23" s="11">
        <v>0.26</v>
      </c>
      <c r="L23" s="21">
        <v>16</v>
      </c>
      <c r="M23" s="32" t="s">
        <v>169</v>
      </c>
      <c r="N23" s="36">
        <v>147</v>
      </c>
      <c r="O23" s="10" t="s">
        <v>27</v>
      </c>
    </row>
    <row r="24" spans="4:16" ht="15.75" x14ac:dyDescent="0.25">
      <c r="D24" s="10" t="s">
        <v>164</v>
      </c>
      <c r="E24" s="11">
        <v>15</v>
      </c>
      <c r="F24" s="11">
        <v>5.4</v>
      </c>
      <c r="G24" s="11">
        <v>0.15</v>
      </c>
      <c r="H24" s="11">
        <v>0.09</v>
      </c>
      <c r="I24" s="11">
        <v>1.19</v>
      </c>
      <c r="J24" s="11">
        <v>0.15</v>
      </c>
      <c r="L24" s="27"/>
      <c r="M24" s="15" t="s">
        <v>170</v>
      </c>
      <c r="N24" s="36"/>
      <c r="O24" s="10"/>
    </row>
    <row r="25" spans="4:16" ht="15.75" x14ac:dyDescent="0.25">
      <c r="D25" s="10" t="s">
        <v>157</v>
      </c>
      <c r="E25" s="11">
        <v>60</v>
      </c>
      <c r="F25" s="11">
        <v>37.799999999999997</v>
      </c>
      <c r="G25" s="11">
        <v>0.6</v>
      </c>
      <c r="H25" s="11">
        <v>0.12</v>
      </c>
      <c r="I25" s="11">
        <v>9.66</v>
      </c>
      <c r="J25" s="11">
        <v>2.58</v>
      </c>
      <c r="L25" s="10">
        <v>17</v>
      </c>
      <c r="M25" s="32" t="s">
        <v>171</v>
      </c>
      <c r="N25" s="10">
        <v>30</v>
      </c>
      <c r="O25" s="10" t="s">
        <v>27</v>
      </c>
    </row>
    <row r="26" spans="4:16" ht="15.75" x14ac:dyDescent="0.25">
      <c r="D26" s="10" t="s">
        <v>33</v>
      </c>
      <c r="E26" s="11">
        <v>7.5</v>
      </c>
      <c r="F26" s="11">
        <v>66.3</v>
      </c>
      <c r="G26" s="11">
        <v>0</v>
      </c>
      <c r="H26" s="11">
        <v>7.5</v>
      </c>
      <c r="I26" s="11">
        <v>0</v>
      </c>
      <c r="J26" s="11">
        <v>0</v>
      </c>
      <c r="L26" s="10">
        <v>18</v>
      </c>
      <c r="M26" s="32" t="s">
        <v>172</v>
      </c>
      <c r="N26" s="10">
        <v>35</v>
      </c>
      <c r="O26" s="10" t="s">
        <v>27</v>
      </c>
    </row>
    <row r="27" spans="4:16" ht="15.75" x14ac:dyDescent="0.25">
      <c r="D27" s="16" t="s">
        <v>35</v>
      </c>
      <c r="E27" s="16"/>
      <c r="F27" s="49">
        <v>453</v>
      </c>
      <c r="G27" s="49">
        <v>17.46</v>
      </c>
      <c r="H27" s="49">
        <v>23.31</v>
      </c>
      <c r="I27" s="49">
        <v>46.58</v>
      </c>
      <c r="J27" s="49">
        <v>4.32</v>
      </c>
      <c r="L27" s="10">
        <v>19</v>
      </c>
      <c r="M27" s="32" t="s">
        <v>173</v>
      </c>
      <c r="N27" s="10">
        <v>35</v>
      </c>
      <c r="O27" s="10" t="s">
        <v>27</v>
      </c>
    </row>
    <row r="28" spans="4:16" ht="15.75" x14ac:dyDescent="0.25">
      <c r="F28" s="19"/>
      <c r="G28" s="19"/>
      <c r="H28" s="19"/>
      <c r="I28" s="19"/>
      <c r="J28" s="19"/>
      <c r="L28" s="10">
        <v>20</v>
      </c>
      <c r="M28" s="50" t="s">
        <v>34</v>
      </c>
      <c r="N28" s="10">
        <v>1</v>
      </c>
      <c r="O28" s="10" t="s">
        <v>27</v>
      </c>
    </row>
    <row r="29" spans="4:16" x14ac:dyDescent="0.25">
      <c r="L29" s="10">
        <v>21</v>
      </c>
      <c r="M29" s="50" t="s">
        <v>36</v>
      </c>
      <c r="N29" s="10">
        <v>1</v>
      </c>
      <c r="O29" s="10" t="s">
        <v>27</v>
      </c>
    </row>
    <row r="30" spans="4:16" x14ac:dyDescent="0.25">
      <c r="L30" s="10">
        <v>22</v>
      </c>
      <c r="M30" s="50" t="s">
        <v>87</v>
      </c>
      <c r="N30" s="10">
        <v>0.5</v>
      </c>
      <c r="O30" s="10" t="s">
        <v>27</v>
      </c>
    </row>
    <row r="31" spans="4:16" x14ac:dyDescent="0.25">
      <c r="L31" s="10">
        <v>23</v>
      </c>
      <c r="M31" s="50" t="s">
        <v>93</v>
      </c>
      <c r="N31" s="10"/>
      <c r="O31" s="10"/>
      <c r="P31" s="14" t="s">
        <v>94</v>
      </c>
    </row>
    <row r="32" spans="4:16" x14ac:dyDescent="0.25">
      <c r="L32" s="10">
        <v>24</v>
      </c>
      <c r="M32" s="50" t="s">
        <v>47</v>
      </c>
      <c r="N32" s="10">
        <v>2</v>
      </c>
      <c r="O32" s="10" t="s">
        <v>48</v>
      </c>
    </row>
    <row r="33" spans="12:16" x14ac:dyDescent="0.25">
      <c r="L33" s="10">
        <v>25</v>
      </c>
      <c r="M33" s="50" t="s">
        <v>64</v>
      </c>
      <c r="N33" s="10">
        <v>1</v>
      </c>
      <c r="O33" s="10" t="s">
        <v>55</v>
      </c>
      <c r="P33" s="15" t="s">
        <v>56</v>
      </c>
    </row>
    <row r="34" spans="12:16" x14ac:dyDescent="0.25">
      <c r="L34" s="10">
        <v>26</v>
      </c>
      <c r="M34" s="50" t="s">
        <v>97</v>
      </c>
      <c r="N34" s="10"/>
      <c r="O34" s="10" t="s">
        <v>27</v>
      </c>
    </row>
    <row r="35" spans="12:16" x14ac:dyDescent="0.25">
      <c r="L35" s="10"/>
      <c r="M35" s="31" t="s">
        <v>66</v>
      </c>
      <c r="N35" s="10"/>
      <c r="O35" s="10"/>
    </row>
    <row r="36" spans="12:16" x14ac:dyDescent="0.25">
      <c r="L36" s="10">
        <v>27</v>
      </c>
      <c r="M36" s="32" t="s">
        <v>174</v>
      </c>
      <c r="N36" s="10">
        <v>120</v>
      </c>
      <c r="O36" s="10" t="s">
        <v>27</v>
      </c>
    </row>
  </sheetData>
  <mergeCells count="2">
    <mergeCell ref="B3:H3"/>
    <mergeCell ref="B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D95C-C8A1-4CD9-9027-8A2798F13A88}">
  <dimension ref="B3:O22"/>
  <sheetViews>
    <sheetView tabSelected="1" workbookViewId="0">
      <selection activeCell="N10" sqref="N10"/>
    </sheetView>
  </sheetViews>
  <sheetFormatPr defaultRowHeight="15" x14ac:dyDescent="0.25"/>
  <cols>
    <col min="2" max="2" width="18.140625" customWidth="1"/>
    <col min="4" max="4" width="18.85546875" customWidth="1"/>
    <col min="9" max="9" width="16" customWidth="1"/>
    <col min="13" max="13" width="18.140625" customWidth="1"/>
    <col min="15" max="15" width="10.42578125" customWidth="1"/>
  </cols>
  <sheetData>
    <row r="3" spans="2:15" x14ac:dyDescent="0.25">
      <c r="B3" s="54" t="s">
        <v>0</v>
      </c>
      <c r="C3" s="54"/>
      <c r="D3" s="54"/>
      <c r="E3" s="54"/>
      <c r="F3" s="54"/>
      <c r="G3" s="54"/>
      <c r="H3" s="54"/>
    </row>
    <row r="4" spans="2:15" x14ac:dyDescent="0.25">
      <c r="B4" s="55" t="s">
        <v>1</v>
      </c>
      <c r="C4" s="54"/>
      <c r="D4" s="54"/>
      <c r="E4" s="54"/>
      <c r="F4" s="54"/>
      <c r="G4" s="54"/>
      <c r="H4" s="54"/>
    </row>
    <row r="5" spans="2:15" x14ac:dyDescent="0.25">
      <c r="B5" s="1" t="s">
        <v>175</v>
      </c>
      <c r="D5" s="2" t="s">
        <v>3</v>
      </c>
      <c r="L5" s="2" t="s">
        <v>4</v>
      </c>
    </row>
    <row r="6" spans="2:15" ht="15.75" thickBot="1" x14ac:dyDescent="0.3">
      <c r="B6" t="s">
        <v>176</v>
      </c>
      <c r="D6" s="2" t="s">
        <v>6</v>
      </c>
      <c r="L6" s="3" t="s">
        <v>7</v>
      </c>
      <c r="M6" s="3" t="s">
        <v>8</v>
      </c>
      <c r="N6" s="3" t="s">
        <v>9</v>
      </c>
      <c r="O6" s="3" t="s">
        <v>10</v>
      </c>
    </row>
    <row r="7" spans="2:15" ht="42.75" x14ac:dyDescent="0.25">
      <c r="B7" t="s">
        <v>177</v>
      </c>
      <c r="D7" s="4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6" t="s">
        <v>17</v>
      </c>
      <c r="J7" s="7" t="s">
        <v>18</v>
      </c>
      <c r="L7" s="8">
        <v>1</v>
      </c>
      <c r="M7" s="32" t="s">
        <v>176</v>
      </c>
      <c r="N7" s="10">
        <v>39</v>
      </c>
      <c r="O7" s="10" t="s">
        <v>178</v>
      </c>
    </row>
    <row r="8" spans="2:15" ht="15.75" x14ac:dyDescent="0.25">
      <c r="B8" t="s">
        <v>179</v>
      </c>
      <c r="D8" s="10" t="s">
        <v>176</v>
      </c>
      <c r="E8" s="11">
        <v>45</v>
      </c>
      <c r="F8" s="11">
        <v>111.6</v>
      </c>
      <c r="G8" s="11">
        <v>3.6</v>
      </c>
      <c r="H8" s="11">
        <v>0.54</v>
      </c>
      <c r="I8" s="11">
        <v>22.5</v>
      </c>
      <c r="J8" s="11">
        <v>4.09</v>
      </c>
      <c r="L8" s="8">
        <v>2</v>
      </c>
      <c r="M8" s="32" t="s">
        <v>83</v>
      </c>
      <c r="N8" s="10">
        <v>78</v>
      </c>
      <c r="O8" s="10" t="s">
        <v>52</v>
      </c>
    </row>
    <row r="9" spans="2:15" ht="15.75" x14ac:dyDescent="0.25">
      <c r="B9" t="s">
        <v>180</v>
      </c>
      <c r="D9" s="10" t="s">
        <v>75</v>
      </c>
      <c r="E9" s="11">
        <v>55</v>
      </c>
      <c r="F9" s="11">
        <v>84.7</v>
      </c>
      <c r="G9" s="11">
        <v>6.82</v>
      </c>
      <c r="H9" s="11">
        <v>5.94</v>
      </c>
      <c r="I9" s="11">
        <v>0.39</v>
      </c>
      <c r="J9" s="11">
        <v>0</v>
      </c>
      <c r="L9" s="8">
        <v>3</v>
      </c>
      <c r="M9" s="32" t="s">
        <v>181</v>
      </c>
      <c r="N9" s="10">
        <v>729</v>
      </c>
      <c r="O9" s="10" t="s">
        <v>91</v>
      </c>
    </row>
    <row r="10" spans="2:15" ht="15.75" x14ac:dyDescent="0.25">
      <c r="D10" s="10" t="s">
        <v>182</v>
      </c>
      <c r="E10" s="11">
        <v>115</v>
      </c>
      <c r="F10" s="11">
        <v>60</v>
      </c>
      <c r="G10" s="11">
        <v>3</v>
      </c>
      <c r="H10" s="11">
        <v>2.5</v>
      </c>
      <c r="I10" s="11">
        <v>6</v>
      </c>
      <c r="J10" s="11">
        <v>0</v>
      </c>
      <c r="L10" s="8">
        <v>4</v>
      </c>
      <c r="M10" s="32" t="s">
        <v>183</v>
      </c>
      <c r="N10" s="51">
        <v>1605</v>
      </c>
      <c r="O10" s="10" t="s">
        <v>91</v>
      </c>
    </row>
    <row r="11" spans="2:15" ht="15.75" x14ac:dyDescent="0.25">
      <c r="D11" s="10" t="s">
        <v>180</v>
      </c>
      <c r="E11" s="11">
        <v>50</v>
      </c>
      <c r="F11" s="11">
        <v>54</v>
      </c>
      <c r="G11" s="11">
        <v>0.5</v>
      </c>
      <c r="H11" s="11">
        <v>0.4</v>
      </c>
      <c r="I11" s="11">
        <v>12.15</v>
      </c>
      <c r="J11" s="11">
        <v>0.95</v>
      </c>
      <c r="L11" s="8">
        <v>5</v>
      </c>
      <c r="M11" s="32" t="s">
        <v>180</v>
      </c>
      <c r="N11" s="10">
        <v>148</v>
      </c>
      <c r="O11" s="10" t="s">
        <v>187</v>
      </c>
    </row>
    <row r="12" spans="2:15" ht="15.75" x14ac:dyDescent="0.25">
      <c r="D12" s="16" t="s">
        <v>35</v>
      </c>
      <c r="E12" s="16"/>
      <c r="F12" s="17">
        <v>310.3</v>
      </c>
      <c r="G12" s="17">
        <v>13.92</v>
      </c>
      <c r="H12" s="17">
        <v>9.3800000000000008</v>
      </c>
      <c r="I12" s="17">
        <v>41.04</v>
      </c>
      <c r="J12" s="17">
        <v>5.04</v>
      </c>
    </row>
    <row r="13" spans="2:15" ht="15.75" x14ac:dyDescent="0.25">
      <c r="F13" s="19"/>
      <c r="G13" s="19"/>
      <c r="H13" s="19"/>
      <c r="I13" s="19"/>
      <c r="J13" s="19"/>
      <c r="M13" s="52"/>
    </row>
    <row r="14" spans="2:15" x14ac:dyDescent="0.25">
      <c r="D14" s="33"/>
      <c r="E14" s="33"/>
      <c r="F14" s="33"/>
      <c r="G14" s="33"/>
      <c r="H14" s="33"/>
      <c r="I14" s="33"/>
      <c r="J14" s="33"/>
    </row>
    <row r="16" spans="2:15" ht="15.75" x14ac:dyDescent="0.25">
      <c r="D16" s="20" t="s">
        <v>40</v>
      </c>
    </row>
    <row r="17" spans="4:10" ht="42.75" x14ac:dyDescent="0.25">
      <c r="D17" s="44" t="s">
        <v>12</v>
      </c>
      <c r="E17" s="44" t="s">
        <v>13</v>
      </c>
      <c r="F17" s="44" t="s">
        <v>14</v>
      </c>
      <c r="G17" s="44" t="s">
        <v>15</v>
      </c>
      <c r="H17" s="44" t="s">
        <v>16</v>
      </c>
      <c r="I17" s="44" t="s">
        <v>17</v>
      </c>
      <c r="J17" s="44" t="s">
        <v>18</v>
      </c>
    </row>
    <row r="18" spans="4:10" ht="15.75" x14ac:dyDescent="0.25">
      <c r="D18" s="10" t="s">
        <v>176</v>
      </c>
      <c r="E18" s="30">
        <v>45</v>
      </c>
      <c r="F18" s="30">
        <v>111.6</v>
      </c>
      <c r="G18" s="30">
        <v>3.6</v>
      </c>
      <c r="H18" s="30">
        <v>0.54</v>
      </c>
      <c r="I18" s="30">
        <v>22.5</v>
      </c>
      <c r="J18" s="30">
        <v>4.09</v>
      </c>
    </row>
    <row r="19" spans="4:10" ht="15.75" x14ac:dyDescent="0.25">
      <c r="D19" s="10" t="s">
        <v>75</v>
      </c>
      <c r="E19" s="30">
        <v>55</v>
      </c>
      <c r="F19" s="30">
        <v>84.7</v>
      </c>
      <c r="G19" s="30">
        <v>6.82</v>
      </c>
      <c r="H19" s="30">
        <v>5.94</v>
      </c>
      <c r="I19" s="30">
        <v>0.39</v>
      </c>
      <c r="J19" s="30">
        <v>0</v>
      </c>
    </row>
    <row r="20" spans="4:10" ht="15.75" x14ac:dyDescent="0.25">
      <c r="D20" s="10" t="s">
        <v>184</v>
      </c>
      <c r="E20" s="30">
        <v>125</v>
      </c>
      <c r="F20" s="30">
        <v>68.180000000000007</v>
      </c>
      <c r="G20" s="30">
        <v>3.41</v>
      </c>
      <c r="H20" s="30">
        <v>2.84</v>
      </c>
      <c r="I20" s="30">
        <v>6.82</v>
      </c>
      <c r="J20" s="30">
        <v>0</v>
      </c>
    </row>
    <row r="21" spans="4:10" ht="15.75" x14ac:dyDescent="0.25">
      <c r="D21" s="10" t="s">
        <v>180</v>
      </c>
      <c r="E21" s="30">
        <v>50</v>
      </c>
      <c r="F21" s="30">
        <v>54</v>
      </c>
      <c r="G21" s="30">
        <v>0.5</v>
      </c>
      <c r="H21" s="30">
        <v>0.4</v>
      </c>
      <c r="I21" s="30">
        <v>12.15</v>
      </c>
      <c r="J21" s="30">
        <v>0.95</v>
      </c>
    </row>
    <row r="22" spans="4:10" ht="15.75" x14ac:dyDescent="0.25">
      <c r="D22" s="47" t="s">
        <v>35</v>
      </c>
      <c r="E22" s="47"/>
      <c r="F22" s="53">
        <v>318.48</v>
      </c>
      <c r="G22" s="53">
        <v>14.33</v>
      </c>
      <c r="H22" s="53">
        <v>9.7200000000000006</v>
      </c>
      <c r="I22" s="53">
        <v>41.86</v>
      </c>
      <c r="J22" s="53">
        <v>5.04</v>
      </c>
    </row>
  </sheetData>
  <mergeCells count="2">
    <mergeCell ref="B3:H3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 1 KHAS DAERAH</vt:lpstr>
      <vt:lpstr>HARI 2</vt:lpstr>
      <vt:lpstr>HARI 3</vt:lpstr>
      <vt:lpstr>HARI 4</vt:lpstr>
      <vt:lpstr>HARI 5</vt:lpstr>
      <vt:lpstr>HARI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2026-01-08T11:28:57Z</dcterms:created>
  <dcterms:modified xsi:type="dcterms:W3CDTF">2026-01-12T07:49:19Z</dcterms:modified>
</cp:coreProperties>
</file>