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8B5FBC1AFCA784/Documents/"/>
    </mc:Choice>
  </mc:AlternateContent>
  <xr:revisionPtr revIDLastSave="0" documentId="14_{0C2D02BF-EC57-4BB3-870F-3E6EE4C69115}" xr6:coauthVersionLast="47" xr6:coauthVersionMax="47" xr10:uidLastSave="{00000000-0000-0000-0000-000000000000}"/>
  <bookViews>
    <workbookView xWindow="-110" yWindow="-110" windowWidth="19420" windowHeight="10300" firstSheet="6" activeTab="9" xr2:uid="{D6B2F9E6-F86B-4577-BA55-56B49C099CDB}"/>
  </bookViews>
  <sheets>
    <sheet name="12januari" sheetId="1" r:id="rId1"/>
    <sheet name="13 januari" sheetId="3" r:id="rId2"/>
    <sheet name="14 januari" sheetId="4" r:id="rId3"/>
    <sheet name="15 januari" sheetId="5" r:id="rId4"/>
    <sheet name="16januari" sheetId="6" r:id="rId5"/>
    <sheet name="SUP EDIAMIT" sheetId="8" r:id="rId6"/>
    <sheet name="SUP PARDO" sheetId="9" r:id="rId7"/>
    <sheet name="SUP CAMPUR" sheetId="10" r:id="rId8"/>
    <sheet name="TOTAL BAYAR SUPPLIER" sheetId="11" r:id="rId9"/>
    <sheet name="SUMMARY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1" l="1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5" i="10"/>
  <c r="H14" i="10"/>
  <c r="H26" i="4"/>
  <c r="H13" i="10"/>
  <c r="H12" i="10"/>
  <c r="H16" i="10" s="1"/>
  <c r="H11" i="10"/>
  <c r="H6" i="10"/>
  <c r="H5" i="10"/>
  <c r="J13" i="9"/>
  <c r="H94" i="9"/>
  <c r="H92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J12" i="8"/>
  <c r="H81" i="8"/>
  <c r="H78" i="8"/>
  <c r="H73" i="8"/>
  <c r="H72" i="8"/>
  <c r="H71" i="8"/>
  <c r="H70" i="8"/>
  <c r="H69" i="8"/>
  <c r="H68" i="8"/>
  <c r="H67" i="8"/>
  <c r="H66" i="8"/>
  <c r="H65" i="8"/>
  <c r="H60" i="8"/>
  <c r="H59" i="8"/>
  <c r="H58" i="8"/>
  <c r="H57" i="8"/>
  <c r="H56" i="8"/>
  <c r="H55" i="8"/>
  <c r="H54" i="8"/>
  <c r="H53" i="8"/>
  <c r="H52" i="8"/>
  <c r="H51" i="8"/>
  <c r="H50" i="8"/>
  <c r="H49" i="8"/>
  <c r="H47" i="8"/>
  <c r="H46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6" i="8"/>
  <c r="B14" i="7"/>
  <c r="F13" i="7"/>
  <c r="F8" i="7"/>
  <c r="C7" i="7"/>
  <c r="H12" i="6"/>
  <c r="M12" i="6"/>
  <c r="I16" i="7"/>
  <c r="I8" i="7"/>
  <c r="C8" i="7"/>
  <c r="K44" i="5"/>
  <c r="M44" i="5"/>
  <c r="M40" i="5"/>
  <c r="M41" i="5"/>
  <c r="M42" i="5"/>
  <c r="M43" i="5"/>
  <c r="M39" i="5"/>
  <c r="L39" i="5"/>
  <c r="K40" i="5"/>
  <c r="K41" i="5"/>
  <c r="K39" i="5"/>
  <c r="J40" i="5"/>
  <c r="L40" i="5" s="1"/>
  <c r="J41" i="5"/>
  <c r="L41" i="5" s="1"/>
  <c r="J42" i="5"/>
  <c r="K42" i="5" s="1"/>
  <c r="J43" i="5"/>
  <c r="K43" i="5" s="1"/>
  <c r="J39" i="5"/>
  <c r="H40" i="5"/>
  <c r="H41" i="5"/>
  <c r="H42" i="5"/>
  <c r="H43" i="5"/>
  <c r="H39" i="5"/>
  <c r="H44" i="5" s="1"/>
  <c r="H9" i="6"/>
  <c r="H10" i="6"/>
  <c r="H11" i="6"/>
  <c r="H8" i="6"/>
  <c r="L29" i="5"/>
  <c r="J8" i="5"/>
  <c r="L8" i="5" s="1"/>
  <c r="M8" i="5" s="1"/>
  <c r="J9" i="5"/>
  <c r="L9" i="5" s="1"/>
  <c r="M9" i="5" s="1"/>
  <c r="J10" i="5"/>
  <c r="K10" i="5" s="1"/>
  <c r="J11" i="5"/>
  <c r="K11" i="5" s="1"/>
  <c r="J12" i="5"/>
  <c r="K12" i="5" s="1"/>
  <c r="J13" i="5"/>
  <c r="L13" i="5" s="1"/>
  <c r="J14" i="5"/>
  <c r="K14" i="5" s="1"/>
  <c r="J15" i="5"/>
  <c r="K15" i="5" s="1"/>
  <c r="J16" i="5"/>
  <c r="L16" i="5" s="1"/>
  <c r="M16" i="5" s="1"/>
  <c r="J17" i="5"/>
  <c r="L17" i="5" s="1"/>
  <c r="M17" i="5" s="1"/>
  <c r="J18" i="5"/>
  <c r="K18" i="5" s="1"/>
  <c r="J19" i="5"/>
  <c r="J20" i="5"/>
  <c r="K20" i="5" s="1"/>
  <c r="J21" i="5"/>
  <c r="L21" i="5" s="1"/>
  <c r="J22" i="5"/>
  <c r="K22" i="5" s="1"/>
  <c r="J23" i="5"/>
  <c r="K23" i="5" s="1"/>
  <c r="J24" i="5"/>
  <c r="L24" i="5" s="1"/>
  <c r="M24" i="5" s="1"/>
  <c r="J25" i="5"/>
  <c r="L25" i="5" s="1"/>
  <c r="M25" i="5" s="1"/>
  <c r="J26" i="5"/>
  <c r="K26" i="5" s="1"/>
  <c r="J27" i="5"/>
  <c r="K27" i="5" s="1"/>
  <c r="J28" i="5"/>
  <c r="K28" i="5" s="1"/>
  <c r="J29" i="5"/>
  <c r="J30" i="5"/>
  <c r="K30" i="5" s="1"/>
  <c r="J31" i="5"/>
  <c r="K31" i="5" s="1"/>
  <c r="J7" i="5"/>
  <c r="L7" i="5" s="1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7" i="5"/>
  <c r="J49" i="3"/>
  <c r="K49" i="3" s="1"/>
  <c r="H7" i="4"/>
  <c r="H8" i="4"/>
  <c r="H9" i="4"/>
  <c r="H10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6" i="4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7" i="3"/>
  <c r="I47" i="1"/>
  <c r="J47" i="1" s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8" i="1"/>
  <c r="K40" i="1"/>
  <c r="L40" i="1" s="1"/>
  <c r="K41" i="1"/>
  <c r="L41" i="1" s="1"/>
  <c r="K42" i="1"/>
  <c r="M42" i="1" s="1"/>
  <c r="N42" i="1" s="1"/>
  <c r="K39" i="1"/>
  <c r="M39" i="1" s="1"/>
  <c r="N39" i="1" s="1"/>
  <c r="J41" i="3"/>
  <c r="K41" i="3" s="1"/>
  <c r="J40" i="3"/>
  <c r="K40" i="3" s="1"/>
  <c r="J39" i="3"/>
  <c r="K39" i="3" s="1"/>
  <c r="J38" i="3"/>
  <c r="K38" i="3" s="1"/>
  <c r="J9" i="6"/>
  <c r="K9" i="6" s="1"/>
  <c r="J10" i="6"/>
  <c r="K10" i="6" s="1"/>
  <c r="J11" i="6"/>
  <c r="L11" i="6" s="1"/>
  <c r="M11" i="6" s="1"/>
  <c r="J8" i="6"/>
  <c r="K8" i="6" s="1"/>
  <c r="K17" i="4"/>
  <c r="L17" i="4"/>
  <c r="M17" i="4" s="1"/>
  <c r="J7" i="4"/>
  <c r="L7" i="4" s="1"/>
  <c r="M7" i="4" s="1"/>
  <c r="J8" i="4"/>
  <c r="L8" i="4" s="1"/>
  <c r="M8" i="4" s="1"/>
  <c r="J9" i="4"/>
  <c r="K9" i="4" s="1"/>
  <c r="J10" i="4"/>
  <c r="K10" i="4" s="1"/>
  <c r="J11" i="4"/>
  <c r="L11" i="4" s="1"/>
  <c r="J12" i="4"/>
  <c r="K12" i="4" s="1"/>
  <c r="J13" i="4"/>
  <c r="L13" i="4" s="1"/>
  <c r="M13" i="4" s="1"/>
  <c r="J14" i="4"/>
  <c r="L14" i="4" s="1"/>
  <c r="M14" i="4" s="1"/>
  <c r="J15" i="4"/>
  <c r="L15" i="4" s="1"/>
  <c r="M15" i="4" s="1"/>
  <c r="J16" i="4"/>
  <c r="K16" i="4" s="1"/>
  <c r="J17" i="4"/>
  <c r="J18" i="4"/>
  <c r="K18" i="4" s="1"/>
  <c r="J19" i="4"/>
  <c r="K19" i="4" s="1"/>
  <c r="J20" i="4"/>
  <c r="K20" i="4" s="1"/>
  <c r="J21" i="4"/>
  <c r="L21" i="4" s="1"/>
  <c r="M21" i="4" s="1"/>
  <c r="J22" i="4"/>
  <c r="L22" i="4" s="1"/>
  <c r="M22" i="4" s="1"/>
  <c r="J23" i="4"/>
  <c r="L23" i="4" s="1"/>
  <c r="M23" i="4" s="1"/>
  <c r="J24" i="4"/>
  <c r="L24" i="4" s="1"/>
  <c r="M24" i="4" s="1"/>
  <c r="J25" i="4"/>
  <c r="K25" i="4" s="1"/>
  <c r="L26" i="4"/>
  <c r="M26" i="4" s="1"/>
  <c r="J27" i="4"/>
  <c r="K27" i="4" s="1"/>
  <c r="J28" i="4"/>
  <c r="K28" i="4" s="1"/>
  <c r="J29" i="4"/>
  <c r="K29" i="4" s="1"/>
  <c r="J30" i="4"/>
  <c r="L30" i="4" s="1"/>
  <c r="M30" i="4" s="1"/>
  <c r="J31" i="4"/>
  <c r="L31" i="4" s="1"/>
  <c r="M31" i="4" s="1"/>
  <c r="J32" i="4"/>
  <c r="L32" i="4" s="1"/>
  <c r="M32" i="4" s="1"/>
  <c r="J33" i="4"/>
  <c r="L33" i="4" s="1"/>
  <c r="M33" i="4" s="1"/>
  <c r="J34" i="4"/>
  <c r="L34" i="4" s="1"/>
  <c r="M34" i="4" s="1"/>
  <c r="J35" i="4"/>
  <c r="K35" i="4" s="1"/>
  <c r="J36" i="4"/>
  <c r="K36" i="4" s="1"/>
  <c r="J37" i="4"/>
  <c r="L37" i="4" s="1"/>
  <c r="M37" i="4" s="1"/>
  <c r="J38" i="4"/>
  <c r="L38" i="4" s="1"/>
  <c r="M38" i="4" s="1"/>
  <c r="J39" i="4"/>
  <c r="L39" i="4" s="1"/>
  <c r="M39" i="4" s="1"/>
  <c r="J40" i="4"/>
  <c r="L40" i="4" s="1"/>
  <c r="M40" i="4" s="1"/>
  <c r="J41" i="4"/>
  <c r="L41" i="4" s="1"/>
  <c r="M41" i="4" s="1"/>
  <c r="J42" i="4"/>
  <c r="L42" i="4" s="1"/>
  <c r="M42" i="4" s="1"/>
  <c r="J43" i="4"/>
  <c r="K43" i="4" s="1"/>
  <c r="J44" i="4"/>
  <c r="K44" i="4" s="1"/>
  <c r="J45" i="4"/>
  <c r="K45" i="4" s="1"/>
  <c r="J6" i="4"/>
  <c r="L6" i="4" s="1"/>
  <c r="M6" i="4" s="1"/>
  <c r="H88" i="9" l="1"/>
  <c r="H69" i="9"/>
  <c r="H41" i="9"/>
  <c r="H22" i="9"/>
  <c r="H74" i="8"/>
  <c r="H61" i="8"/>
  <c r="H42" i="8"/>
  <c r="H21" i="8"/>
  <c r="L43" i="5"/>
  <c r="K8" i="5"/>
  <c r="K24" i="5"/>
  <c r="L42" i="5"/>
  <c r="K17" i="5"/>
  <c r="K16" i="5"/>
  <c r="L16" i="4"/>
  <c r="M16" i="4" s="1"/>
  <c r="K24" i="4"/>
  <c r="K8" i="4"/>
  <c r="K9" i="5"/>
  <c r="H32" i="5"/>
  <c r="K7" i="5"/>
  <c r="K25" i="5"/>
  <c r="L10" i="6"/>
  <c r="M10" i="6" s="1"/>
  <c r="L31" i="5"/>
  <c r="M31" i="5" s="1"/>
  <c r="L23" i="5"/>
  <c r="M23" i="5" s="1"/>
  <c r="L15" i="5"/>
  <c r="M15" i="5" s="1"/>
  <c r="M29" i="5"/>
  <c r="M21" i="5"/>
  <c r="M13" i="5"/>
  <c r="L30" i="5"/>
  <c r="M30" i="5" s="1"/>
  <c r="L22" i="5"/>
  <c r="M22" i="5" s="1"/>
  <c r="L14" i="5"/>
  <c r="M14" i="5" s="1"/>
  <c r="L28" i="5"/>
  <c r="M28" i="5" s="1"/>
  <c r="L20" i="5"/>
  <c r="M20" i="5" s="1"/>
  <c r="L12" i="5"/>
  <c r="M12" i="5" s="1"/>
  <c r="K29" i="5"/>
  <c r="K21" i="5"/>
  <c r="K13" i="5"/>
  <c r="L27" i="5"/>
  <c r="M27" i="5" s="1"/>
  <c r="L19" i="5"/>
  <c r="M19" i="5" s="1"/>
  <c r="L11" i="5"/>
  <c r="M11" i="5" s="1"/>
  <c r="L26" i="5"/>
  <c r="M26" i="5" s="1"/>
  <c r="L18" i="5"/>
  <c r="M18" i="5" s="1"/>
  <c r="L10" i="5"/>
  <c r="M10" i="5" s="1"/>
  <c r="K19" i="5"/>
  <c r="L9" i="4"/>
  <c r="M9" i="4" s="1"/>
  <c r="H46" i="4"/>
  <c r="L25" i="4"/>
  <c r="M25" i="4" s="1"/>
  <c r="K34" i="4"/>
  <c r="L40" i="3"/>
  <c r="M40" i="3" s="1"/>
  <c r="L41" i="3"/>
  <c r="M41" i="3" s="1"/>
  <c r="K11" i="6"/>
  <c r="K12" i="6" s="1"/>
  <c r="H42" i="3"/>
  <c r="L38" i="3"/>
  <c r="M38" i="3" s="1"/>
  <c r="K39" i="4"/>
  <c r="K38" i="4"/>
  <c r="K14" i="4"/>
  <c r="L20" i="4"/>
  <c r="M20" i="4" s="1"/>
  <c r="K31" i="4"/>
  <c r="L19" i="4"/>
  <c r="M19" i="4" s="1"/>
  <c r="K30" i="4"/>
  <c r="K7" i="4"/>
  <c r="K6" i="4"/>
  <c r="L12" i="4"/>
  <c r="M12" i="4" s="1"/>
  <c r="K42" i="4"/>
  <c r="K22" i="4"/>
  <c r="L29" i="4"/>
  <c r="M29" i="4" s="1"/>
  <c r="L44" i="4"/>
  <c r="M44" i="4" s="1"/>
  <c r="L36" i="4"/>
  <c r="M36" i="4" s="1"/>
  <c r="L28" i="4"/>
  <c r="M28" i="4" s="1"/>
  <c r="K41" i="4"/>
  <c r="K33" i="4"/>
  <c r="L43" i="4"/>
  <c r="M43" i="4" s="1"/>
  <c r="L35" i="4"/>
  <c r="M35" i="4" s="1"/>
  <c r="L27" i="4"/>
  <c r="M27" i="4" s="1"/>
  <c r="L18" i="4"/>
  <c r="M18" i="4" s="1"/>
  <c r="L10" i="4"/>
  <c r="M10" i="4" s="1"/>
  <c r="K40" i="4"/>
  <c r="K32" i="4"/>
  <c r="K23" i="4"/>
  <c r="K15" i="4"/>
  <c r="L45" i="4"/>
  <c r="M45" i="4" s="1"/>
  <c r="K13" i="4"/>
  <c r="K37" i="4"/>
  <c r="K21" i="4"/>
  <c r="L42" i="1"/>
  <c r="I44" i="1"/>
  <c r="L39" i="1"/>
  <c r="M41" i="1"/>
  <c r="N41" i="1" s="1"/>
  <c r="M40" i="1"/>
  <c r="N40" i="1" s="1"/>
  <c r="L8" i="6"/>
  <c r="M8" i="6" s="1"/>
  <c r="L9" i="6"/>
  <c r="L39" i="3"/>
  <c r="M39" i="3" s="1"/>
  <c r="K26" i="4"/>
  <c r="J8" i="3"/>
  <c r="L8" i="3" s="1"/>
  <c r="M8" i="3" s="1"/>
  <c r="J9" i="3"/>
  <c r="K9" i="3" s="1"/>
  <c r="J10" i="3"/>
  <c r="L10" i="3" s="1"/>
  <c r="M10" i="3" s="1"/>
  <c r="J11" i="3"/>
  <c r="L11" i="3" s="1"/>
  <c r="M11" i="3" s="1"/>
  <c r="J12" i="3"/>
  <c r="L12" i="3" s="1"/>
  <c r="M12" i="3" s="1"/>
  <c r="J13" i="3"/>
  <c r="L13" i="3" s="1"/>
  <c r="M13" i="3" s="1"/>
  <c r="J14" i="3"/>
  <c r="K14" i="3" s="1"/>
  <c r="J15" i="3"/>
  <c r="K15" i="3" s="1"/>
  <c r="J16" i="3"/>
  <c r="L16" i="3" s="1"/>
  <c r="M16" i="3" s="1"/>
  <c r="J17" i="3"/>
  <c r="L17" i="3" s="1"/>
  <c r="M17" i="3" s="1"/>
  <c r="J18" i="3"/>
  <c r="L18" i="3" s="1"/>
  <c r="M18" i="3" s="1"/>
  <c r="J19" i="3"/>
  <c r="K19" i="3" s="1"/>
  <c r="J20" i="3"/>
  <c r="K20" i="3" s="1"/>
  <c r="J21" i="3"/>
  <c r="L21" i="3" s="1"/>
  <c r="M21" i="3" s="1"/>
  <c r="J22" i="3"/>
  <c r="L22" i="3" s="1"/>
  <c r="M22" i="3" s="1"/>
  <c r="J23" i="3"/>
  <c r="L23" i="3" s="1"/>
  <c r="M23" i="3" s="1"/>
  <c r="J24" i="3"/>
  <c r="L24" i="3" s="1"/>
  <c r="M24" i="3" s="1"/>
  <c r="J25" i="3"/>
  <c r="L25" i="3" s="1"/>
  <c r="M25" i="3" s="1"/>
  <c r="J26" i="3"/>
  <c r="L26" i="3" s="1"/>
  <c r="M26" i="3" s="1"/>
  <c r="J27" i="3"/>
  <c r="K27" i="3" s="1"/>
  <c r="J28" i="3"/>
  <c r="K28" i="3" s="1"/>
  <c r="J29" i="3"/>
  <c r="K29" i="3" s="1"/>
  <c r="J30" i="3"/>
  <c r="K30" i="3" s="1"/>
  <c r="J31" i="3"/>
  <c r="K31" i="3" s="1"/>
  <c r="J32" i="3"/>
  <c r="L32" i="3" s="1"/>
  <c r="M32" i="3" s="1"/>
  <c r="J33" i="3"/>
  <c r="K33" i="3" s="1"/>
  <c r="J34" i="3"/>
  <c r="L34" i="3" s="1"/>
  <c r="M34" i="3" s="1"/>
  <c r="J35" i="3"/>
  <c r="L35" i="3" s="1"/>
  <c r="M35" i="3" s="1"/>
  <c r="J36" i="3"/>
  <c r="L36" i="3" s="1"/>
  <c r="M36" i="3" s="1"/>
  <c r="J37" i="3"/>
  <c r="L37" i="3" s="1"/>
  <c r="M37" i="3" s="1"/>
  <c r="J7" i="3"/>
  <c r="L7" i="3" s="1"/>
  <c r="M7" i="3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8" i="1"/>
  <c r="N8" i="1" s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8" i="1"/>
  <c r="L9" i="1"/>
  <c r="K32" i="5" l="1"/>
  <c r="M9" i="6"/>
  <c r="M14" i="6" s="1"/>
  <c r="K36" i="3"/>
  <c r="K46" i="4"/>
  <c r="M46" i="4"/>
  <c r="M48" i="4" s="1"/>
  <c r="K35" i="3"/>
  <c r="N44" i="1"/>
  <c r="N46" i="1" s="1"/>
  <c r="L44" i="1"/>
  <c r="L31" i="3"/>
  <c r="M31" i="3" s="1"/>
  <c r="L28" i="3"/>
  <c r="M28" i="3" s="1"/>
  <c r="L27" i="3"/>
  <c r="M27" i="3" s="1"/>
  <c r="K37" i="3"/>
  <c r="L20" i="3"/>
  <c r="M20" i="3" s="1"/>
  <c r="K12" i="3"/>
  <c r="L19" i="3"/>
  <c r="M19" i="3" s="1"/>
  <c r="K13" i="3"/>
  <c r="K7" i="3"/>
  <c r="K11" i="3"/>
  <c r="K17" i="3"/>
  <c r="L33" i="3"/>
  <c r="M33" i="3" s="1"/>
  <c r="K25" i="3"/>
  <c r="K23" i="3"/>
  <c r="L15" i="3"/>
  <c r="M15" i="3" s="1"/>
  <c r="K22" i="3"/>
  <c r="L14" i="3"/>
  <c r="M14" i="3" s="1"/>
  <c r="K21" i="3"/>
  <c r="L30" i="3"/>
  <c r="M30" i="3" s="1"/>
  <c r="L29" i="3"/>
  <c r="M29" i="3" s="1"/>
  <c r="L9" i="3"/>
  <c r="M9" i="3" s="1"/>
  <c r="K34" i="3"/>
  <c r="K26" i="3"/>
  <c r="K18" i="3"/>
  <c r="K10" i="3"/>
  <c r="K32" i="3"/>
  <c r="K24" i="3"/>
  <c r="K16" i="3"/>
  <c r="K8" i="3"/>
  <c r="M43" i="3" l="1"/>
  <c r="M45" i="3" s="1"/>
  <c r="K43" i="3"/>
  <c r="M7" i="5"/>
  <c r="M32" i="5" s="1"/>
  <c r="M34" i="5" s="1"/>
</calcChain>
</file>

<file path=xl/sharedStrings.xml><?xml version="1.0" encoding="utf-8"?>
<sst xmlns="http://schemas.openxmlformats.org/spreadsheetml/2006/main" count="1017" uniqueCount="185">
  <si>
    <t>SUPPLIER</t>
  </si>
  <si>
    <t>NO</t>
  </si>
  <si>
    <t>URAIAN</t>
  </si>
  <si>
    <t>QTY</t>
  </si>
  <si>
    <t>SATUAN</t>
  </si>
  <si>
    <t>ediamit</t>
  </si>
  <si>
    <t>Beras UK.10 KG</t>
  </si>
  <si>
    <t>SAK</t>
  </si>
  <si>
    <t>BAHAN IKAN NILA NATINOMBUR</t>
  </si>
  <si>
    <t>Ikan Nila 1 kg 3 ekor, potong 3</t>
  </si>
  <si>
    <t>kg</t>
  </si>
  <si>
    <t>Garam Kasar</t>
  </si>
  <si>
    <t>PAK</t>
  </si>
  <si>
    <t>pardo</t>
  </si>
  <si>
    <t>Jeruk Nipis</t>
  </si>
  <si>
    <t>Minyak</t>
  </si>
  <si>
    <t>bawang merah</t>
  </si>
  <si>
    <t>bawang putih</t>
  </si>
  <si>
    <t>cabe rawit hijau</t>
  </si>
  <si>
    <t>cabe rawit merah</t>
  </si>
  <si>
    <t>cabe merah</t>
  </si>
  <si>
    <t>jahe</t>
  </si>
  <si>
    <t>kemiri</t>
  </si>
  <si>
    <t>Tomat</t>
  </si>
  <si>
    <t>batang rias</t>
  </si>
  <si>
    <t>andaliman</t>
  </si>
  <si>
    <t>garam halus</t>
  </si>
  <si>
    <t>bungkus</t>
  </si>
  <si>
    <t>gula pasir</t>
  </si>
  <si>
    <t xml:space="preserve">BAHAN TEMPE CRISPY </t>
  </si>
  <si>
    <t>irma</t>
  </si>
  <si>
    <t>Tempe</t>
  </si>
  <si>
    <t>papan</t>
  </si>
  <si>
    <t>Tepung Terigu</t>
  </si>
  <si>
    <t>Kunyit Bubuk</t>
  </si>
  <si>
    <t>Renceng</t>
  </si>
  <si>
    <t>BAHAN TUMIS PAKCOY BAWANG PUTIH</t>
  </si>
  <si>
    <t>Pakcoy</t>
  </si>
  <si>
    <t>Bawang Putih</t>
  </si>
  <si>
    <t>botol</t>
  </si>
  <si>
    <t>tepung Maizena</t>
  </si>
  <si>
    <t>BUAH</t>
  </si>
  <si>
    <t>BIAYA OPERASIONAL</t>
  </si>
  <si>
    <t>Tali plastik</t>
  </si>
  <si>
    <t>Total</t>
  </si>
  <si>
    <t>Harga Sppg</t>
  </si>
  <si>
    <t>Dari sup</t>
  </si>
  <si>
    <t>Total utk kop</t>
  </si>
  <si>
    <t>%</t>
  </si>
  <si>
    <t>Hasil%</t>
  </si>
  <si>
    <t>Saus Tiram uk. 1 Liter</t>
  </si>
  <si>
    <t>BAHAN NASI DAUN JERUK</t>
  </si>
  <si>
    <t>Beras 130kg</t>
  </si>
  <si>
    <t>sak</t>
  </si>
  <si>
    <t>Daun Jeruk</t>
  </si>
  <si>
    <t>serai</t>
  </si>
  <si>
    <t>bawang putih bubuk</t>
  </si>
  <si>
    <t>garam</t>
  </si>
  <si>
    <t>BAHAN TELUR CEPLOK PEDAS MANIS</t>
  </si>
  <si>
    <t>Telur</t>
  </si>
  <si>
    <t>PAPAN</t>
  </si>
  <si>
    <t>bawang ptih</t>
  </si>
  <si>
    <t>cabe rawit</t>
  </si>
  <si>
    <t>daun bawang</t>
  </si>
  <si>
    <t>kecap manis uk.700gram</t>
  </si>
  <si>
    <t>pcs</t>
  </si>
  <si>
    <t>saus tiram</t>
  </si>
  <si>
    <t>kaldu bubuk uk. 250gram</t>
  </si>
  <si>
    <t>minyak</t>
  </si>
  <si>
    <t>BAHAN TAHU CRISPY</t>
  </si>
  <si>
    <t>Tahu 1ppn= 144 potong</t>
  </si>
  <si>
    <t>BAHAN TUMIS KANGKUNG</t>
  </si>
  <si>
    <t>Kangkung</t>
  </si>
  <si>
    <t>terasi</t>
  </si>
  <si>
    <t xml:space="preserve">cabe merah </t>
  </si>
  <si>
    <t>saos tiram uk.133ml</t>
  </si>
  <si>
    <t>jeruk</t>
  </si>
  <si>
    <t>Melon hijau</t>
  </si>
  <si>
    <t>BUDGET/HARI=</t>
  </si>
  <si>
    <t>Kg</t>
  </si>
  <si>
    <t>beras</t>
  </si>
  <si>
    <t>BAHAN AYAM RENDANG</t>
  </si>
  <si>
    <t>daun salam</t>
  </si>
  <si>
    <t>daun kunyit</t>
  </si>
  <si>
    <t xml:space="preserve">lengkuas </t>
  </si>
  <si>
    <t>sachet</t>
  </si>
  <si>
    <t>garam kasar</t>
  </si>
  <si>
    <t>kunyit</t>
  </si>
  <si>
    <t>BAHAN TEMPE OREK KECAP</t>
  </si>
  <si>
    <t>lengkuas</t>
  </si>
  <si>
    <t>liter</t>
  </si>
  <si>
    <t>BAHAN TUMIS LABU SIAM</t>
  </si>
  <si>
    <t>Labu Siam</t>
  </si>
  <si>
    <t>saos tiram</t>
  </si>
  <si>
    <t xml:space="preserve">BUAH </t>
  </si>
  <si>
    <t>ayam 1 kg potong 10</t>
  </si>
  <si>
    <t>santan kental 65 ml</t>
  </si>
  <si>
    <t>kaldu bubuk uk. 250gr</t>
  </si>
  <si>
    <t>kecap manis uk. 700gr</t>
  </si>
  <si>
    <t>bumbu jadi rendang</t>
  </si>
  <si>
    <t>duku</t>
  </si>
  <si>
    <t>Dari Sup</t>
  </si>
  <si>
    <t>Total utk Kop</t>
  </si>
  <si>
    <t>Ediamit</t>
  </si>
  <si>
    <t>monika</t>
  </si>
  <si>
    <t>BAHAN IKAN NILA SAMBAL HIJAU</t>
  </si>
  <si>
    <t>ikan nila</t>
  </si>
  <si>
    <t>cabe hijau</t>
  </si>
  <si>
    <t>Tomat hijau</t>
  </si>
  <si>
    <t>garam Kasar</t>
  </si>
  <si>
    <t>daun jeruk</t>
  </si>
  <si>
    <t>BAHAN TAHU KRISPY</t>
  </si>
  <si>
    <t>Tahu</t>
  </si>
  <si>
    <t>BAHAN TUMIS SAWI PUTIH</t>
  </si>
  <si>
    <t>sawi putih</t>
  </si>
  <si>
    <t>salak</t>
  </si>
  <si>
    <t>beras 10kg</t>
  </si>
  <si>
    <t>pisang</t>
  </si>
  <si>
    <t>Sisir</t>
  </si>
  <si>
    <t>dus</t>
  </si>
  <si>
    <t xml:space="preserve">susu uht 125 ml </t>
  </si>
  <si>
    <t>ppn</t>
  </si>
  <si>
    <t>Timun</t>
  </si>
  <si>
    <t>gram</t>
  </si>
  <si>
    <t xml:space="preserve">Telur </t>
  </si>
  <si>
    <t>butir</t>
  </si>
  <si>
    <t xml:space="preserve">Tahu </t>
  </si>
  <si>
    <t>biji</t>
  </si>
  <si>
    <t>SPPG</t>
  </si>
  <si>
    <t xml:space="preserve">Saori </t>
  </si>
  <si>
    <t xml:space="preserve">Timun </t>
  </si>
  <si>
    <t>Gula pasir</t>
  </si>
  <si>
    <t>SELISIH=</t>
  </si>
  <si>
    <t xml:space="preserve">Roti </t>
  </si>
  <si>
    <t>Pcs</t>
  </si>
  <si>
    <t>total sup</t>
  </si>
  <si>
    <t>supplier</t>
  </si>
  <si>
    <t>uraian</t>
  </si>
  <si>
    <t>qty</t>
  </si>
  <si>
    <t>dari sup</t>
  </si>
  <si>
    <t>hasil %</t>
  </si>
  <si>
    <t xml:space="preserve">Harga SPPG </t>
  </si>
  <si>
    <t xml:space="preserve">Total </t>
  </si>
  <si>
    <t>1 ball</t>
  </si>
  <si>
    <t xml:space="preserve">tali plastik  </t>
  </si>
  <si>
    <t>Pardo</t>
  </si>
  <si>
    <t>Total sup</t>
  </si>
  <si>
    <t>Biaya operasional</t>
  </si>
  <si>
    <t>Total Sup</t>
  </si>
  <si>
    <t>LAPORAN INVOICE SPPG POLRES</t>
  </si>
  <si>
    <t>MENU 12 JANUARI 2026</t>
  </si>
  <si>
    <t>MENU 13 JANUARI 2026</t>
  </si>
  <si>
    <t>MENU 16 JANUARI 2026</t>
  </si>
  <si>
    <t>MENU 15 JANUARI 2026</t>
  </si>
  <si>
    <t>MENU 14 JANUARI 2026</t>
  </si>
  <si>
    <t>DARI SUP</t>
  </si>
  <si>
    <t>TOTAL SUP</t>
  </si>
  <si>
    <t>HASIL%</t>
  </si>
  <si>
    <t>HARGA SPPG</t>
  </si>
  <si>
    <t>TOTAL</t>
  </si>
  <si>
    <t>ball</t>
  </si>
  <si>
    <t>Mama lime 680ml</t>
  </si>
  <si>
    <t>karton</t>
  </si>
  <si>
    <t>So klin lantai</t>
  </si>
  <si>
    <t>Cling pembersih kaca</t>
  </si>
  <si>
    <t>Porstex kloset</t>
  </si>
  <si>
    <t>bks</t>
  </si>
  <si>
    <t>TOTAL UTK KOP</t>
  </si>
  <si>
    <t xml:space="preserve">1.TOTAL BELANJA SPPG </t>
  </si>
  <si>
    <t>2.TOTAL BAYAR KE SUPPLIER</t>
  </si>
  <si>
    <t>3.TOTAL PROFIT KOPERASI DARI BAHAN MAKANAN</t>
  </si>
  <si>
    <t>KESIMPULAN</t>
  </si>
  <si>
    <t>SISA UANG/BUDGET UNTUK BAHAN MAKANAN JANUARI 2026(1)</t>
  </si>
  <si>
    <t>4.TOTAL PROFIT KOPERASI DARI BAHAN OPERASIONAL</t>
  </si>
  <si>
    <t>(108.470.000-103.545.850)</t>
  </si>
  <si>
    <t>PEMBAYARAN EDIAMIT</t>
  </si>
  <si>
    <t>EDIAMIT</t>
  </si>
  <si>
    <t>PARDO</t>
  </si>
  <si>
    <t>TOTAL BAYAR</t>
  </si>
  <si>
    <t>TOTAL BAYAR=</t>
  </si>
  <si>
    <t>PEMBAYARAN SAYUR</t>
  </si>
  <si>
    <t>PEMBAYARAN AYAM</t>
  </si>
  <si>
    <t>PEMBAYARAN IRMA</t>
  </si>
  <si>
    <t>PEMBAYARAN SPPG</t>
  </si>
  <si>
    <t>TOTAL BAYAR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</si>
</sst>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Aptos Narrow"/>
      <family val="2"/>
      <scheme val="minor"/>
    </font>
    <font>
      <sz val="1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6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b/>
      <sz val="16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1"/>
      <color rgb="FF292929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3" fillId="0" borderId="0"/>
    <xf numFmtId="0" fontId="11" fillId="0" borderId="0"/>
  </cellStyleXfs>
  <cellXfs count="150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3" borderId="1" xfId="0" applyFont="1" applyFill="1" applyBorder="1"/>
    <xf numFmtId="0" fontId="0" fillId="3" borderId="1" xfId="0" applyFill="1" applyBorder="1"/>
    <xf numFmtId="0" fontId="4" fillId="3" borderId="2" xfId="0" applyFont="1" applyFill="1" applyBorder="1"/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0" borderId="0" xfId="0" applyFont="1"/>
    <xf numFmtId="9" fontId="0" fillId="0" borderId="1" xfId="0" applyNumberForma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3" fontId="0" fillId="0" borderId="1" xfId="0" applyNumberFormat="1" applyBorder="1"/>
    <xf numFmtId="0" fontId="12" fillId="5" borderId="0" xfId="0" applyFont="1" applyFill="1"/>
    <xf numFmtId="3" fontId="12" fillId="5" borderId="0" xfId="0" applyNumberFormat="1" applyFont="1" applyFill="1"/>
    <xf numFmtId="9" fontId="0" fillId="0" borderId="2" xfId="0" applyNumberFormat="1" applyBorder="1" applyAlignment="1">
      <alignment horizontal="center"/>
    </xf>
    <xf numFmtId="0" fontId="4" fillId="3" borderId="0" xfId="0" applyFont="1" applyFill="1"/>
    <xf numFmtId="0" fontId="5" fillId="3" borderId="1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3" fillId="0" borderId="1" xfId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3" fillId="0" borderId="1" xfId="1" applyBorder="1"/>
    <xf numFmtId="3" fontId="13" fillId="0" borderId="1" xfId="1" applyNumberFormat="1" applyBorder="1" applyAlignment="1">
      <alignment horizontal="center"/>
    </xf>
    <xf numFmtId="0" fontId="2" fillId="4" borderId="1" xfId="1" applyFont="1" applyFill="1" applyBorder="1" applyAlignment="1">
      <alignment horizontal="center" vertical="center"/>
    </xf>
    <xf numFmtId="3" fontId="13" fillId="0" borderId="1" xfId="1" applyNumberFormat="1" applyBorder="1"/>
    <xf numFmtId="9" fontId="0" fillId="0" borderId="1" xfId="0" applyNumberFormat="1" applyBorder="1"/>
    <xf numFmtId="3" fontId="10" fillId="0" borderId="1" xfId="1" applyNumberFormat="1" applyFont="1" applyBorder="1"/>
    <xf numFmtId="0" fontId="16" fillId="0" borderId="5" xfId="0" applyFont="1" applyBorder="1"/>
    <xf numFmtId="0" fontId="3" fillId="3" borderId="1" xfId="1" applyFont="1" applyFill="1" applyBorder="1" applyAlignment="1">
      <alignment horizontal="center" vertical="center"/>
    </xf>
    <xf numFmtId="0" fontId="4" fillId="3" borderId="1" xfId="1" applyFont="1" applyFill="1" applyBorder="1"/>
    <xf numFmtId="0" fontId="13" fillId="3" borderId="1" xfId="1" applyFill="1" applyBorder="1" applyAlignment="1">
      <alignment horizontal="center"/>
    </xf>
    <xf numFmtId="0" fontId="13" fillId="3" borderId="1" xfId="1" applyFill="1" applyBorder="1"/>
    <xf numFmtId="3" fontId="15" fillId="0" borderId="5" xfId="0" applyNumberFormat="1" applyFont="1" applyBorder="1"/>
    <xf numFmtId="0" fontId="3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2" xfId="0" applyBorder="1"/>
    <xf numFmtId="3" fontId="9" fillId="0" borderId="6" xfId="0" applyNumberFormat="1" applyFont="1" applyBorder="1"/>
    <xf numFmtId="0" fontId="14" fillId="4" borderId="1" xfId="1" applyFont="1" applyFill="1" applyBorder="1"/>
    <xf numFmtId="9" fontId="0" fillId="0" borderId="0" xfId="0" applyNumberFormat="1"/>
    <xf numFmtId="9" fontId="0" fillId="3" borderId="1" xfId="0" applyNumberFormat="1" applyFill="1" applyBorder="1"/>
    <xf numFmtId="3" fontId="17" fillId="0" borderId="9" xfId="0" applyNumberFormat="1" applyFont="1" applyBorder="1"/>
    <xf numFmtId="0" fontId="18" fillId="6" borderId="0" xfId="0" applyFont="1" applyFill="1"/>
    <xf numFmtId="3" fontId="18" fillId="6" borderId="0" xfId="0" applyNumberFormat="1" applyFont="1" applyFill="1"/>
    <xf numFmtId="0" fontId="17" fillId="0" borderId="9" xfId="0" applyFont="1" applyBorder="1"/>
    <xf numFmtId="0" fontId="20" fillId="0" borderId="1" xfId="0" applyFont="1" applyBorder="1"/>
    <xf numFmtId="0" fontId="0" fillId="0" borderId="6" xfId="0" applyBorder="1"/>
    <xf numFmtId="0" fontId="12" fillId="0" borderId="6" xfId="0" applyFont="1" applyBorder="1"/>
    <xf numFmtId="0" fontId="0" fillId="4" borderId="1" xfId="0" applyFill="1" applyBorder="1"/>
    <xf numFmtId="0" fontId="0" fillId="7" borderId="0" xfId="0" applyFill="1"/>
    <xf numFmtId="3" fontId="16" fillId="0" borderId="9" xfId="0" applyNumberFormat="1" applyFont="1" applyBorder="1" applyAlignment="1">
      <alignment horizontal="center"/>
    </xf>
    <xf numFmtId="0" fontId="0" fillId="0" borderId="10" xfId="0" applyBorder="1"/>
    <xf numFmtId="3" fontId="7" fillId="0" borderId="7" xfId="0" applyNumberFormat="1" applyFont="1" applyBorder="1"/>
    <xf numFmtId="3" fontId="13" fillId="0" borderId="2" xfId="1" applyNumberFormat="1" applyBorder="1"/>
    <xf numFmtId="3" fontId="17" fillId="0" borderId="4" xfId="0" applyNumberFormat="1" applyFont="1" applyBorder="1"/>
    <xf numFmtId="0" fontId="18" fillId="0" borderId="0" xfId="0" applyFont="1"/>
    <xf numFmtId="3" fontId="18" fillId="0" borderId="0" xfId="0" applyNumberFormat="1" applyFont="1"/>
    <xf numFmtId="0" fontId="1" fillId="4" borderId="1" xfId="0" applyFont="1" applyFill="1" applyBorder="1"/>
    <xf numFmtId="3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8" borderId="0" xfId="0" applyFont="1" applyFill="1"/>
    <xf numFmtId="0" fontId="4" fillId="0" borderId="4" xfId="0" applyFont="1" applyBorder="1"/>
    <xf numFmtId="0" fontId="2" fillId="4" borderId="3" xfId="1" applyFont="1" applyFill="1" applyBorder="1" applyAlignment="1">
      <alignment horizontal="center" vertical="center"/>
    </xf>
    <xf numFmtId="3" fontId="13" fillId="0" borderId="17" xfId="1" applyNumberFormat="1" applyBorder="1"/>
    <xf numFmtId="9" fontId="0" fillId="0" borderId="17" xfId="0" applyNumberFormat="1" applyBorder="1"/>
    <xf numFmtId="0" fontId="0" fillId="0" borderId="17" xfId="0" applyBorder="1"/>
    <xf numFmtId="3" fontId="0" fillId="0" borderId="17" xfId="0" applyNumberFormat="1" applyBorder="1"/>
    <xf numFmtId="0" fontId="2" fillId="4" borderId="1" xfId="1" applyFont="1" applyFill="1" applyBorder="1" applyAlignment="1">
      <alignment vertical="center"/>
    </xf>
    <xf numFmtId="0" fontId="0" fillId="2" borderId="1" xfId="0" applyFill="1" applyBorder="1"/>
    <xf numFmtId="3" fontId="17" fillId="0" borderId="5" xfId="0" applyNumberFormat="1" applyFont="1" applyBorder="1"/>
    <xf numFmtId="3" fontId="9" fillId="0" borderId="5" xfId="0" applyNumberFormat="1" applyFont="1" applyBorder="1"/>
    <xf numFmtId="0" fontId="9" fillId="0" borderId="5" xfId="0" applyFont="1" applyBorder="1"/>
    <xf numFmtId="3" fontId="17" fillId="0" borderId="5" xfId="0" applyNumberFormat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3" fontId="19" fillId="0" borderId="18" xfId="0" applyNumberFormat="1" applyFont="1" applyBorder="1"/>
    <xf numFmtId="3" fontId="1" fillId="4" borderId="1" xfId="0" applyNumberFormat="1" applyFont="1" applyFill="1" applyBorder="1"/>
    <xf numFmtId="14" fontId="0" fillId="0" borderId="1" xfId="0" applyNumberFormat="1" applyBorder="1"/>
    <xf numFmtId="3" fontId="8" fillId="0" borderId="5" xfId="0" applyNumberFormat="1" applyFont="1" applyBorder="1"/>
    <xf numFmtId="0" fontId="1" fillId="4" borderId="11" xfId="0" applyFont="1" applyFill="1" applyBorder="1"/>
    <xf numFmtId="0" fontId="1" fillId="4" borderId="12" xfId="0" applyFont="1" applyFill="1" applyBorder="1"/>
    <xf numFmtId="0" fontId="1" fillId="0" borderId="12" xfId="0" applyFont="1" applyBorder="1"/>
    <xf numFmtId="0" fontId="0" fillId="0" borderId="16" xfId="0" applyBorder="1"/>
    <xf numFmtId="0" fontId="0" fillId="0" borderId="13" xfId="0" applyBorder="1"/>
    <xf numFmtId="0" fontId="0" fillId="0" borderId="8" xfId="0" applyBorder="1"/>
    <xf numFmtId="0" fontId="0" fillId="0" borderId="15" xfId="0" applyBorder="1"/>
    <xf numFmtId="3" fontId="0" fillId="0" borderId="14" xfId="0" applyNumberFormat="1" applyBorder="1"/>
    <xf numFmtId="0" fontId="4" fillId="0" borderId="16" xfId="0" applyFont="1" applyBorder="1"/>
    <xf numFmtId="0" fontId="0" fillId="0" borderId="12" xfId="0" applyBorder="1"/>
    <xf numFmtId="3" fontId="0" fillId="0" borderId="19" xfId="0" applyNumberFormat="1" applyBorder="1"/>
    <xf numFmtId="3" fontId="0" fillId="0" borderId="20" xfId="0" applyNumberFormat="1" applyBorder="1"/>
    <xf numFmtId="3" fontId="21" fillId="0" borderId="21" xfId="0" applyNumberFormat="1" applyFont="1" applyBorder="1"/>
    <xf numFmtId="14" fontId="0" fillId="0" borderId="0" xfId="0" applyNumberFormat="1"/>
    <xf numFmtId="0" fontId="1" fillId="0" borderId="5" xfId="0" applyFont="1" applyBorder="1"/>
    <xf numFmtId="3" fontId="1" fillId="0" borderId="5" xfId="0" applyNumberFormat="1" applyFont="1" applyBorder="1"/>
    <xf numFmtId="14" fontId="1" fillId="0" borderId="0" xfId="0" applyNumberFormat="1" applyFont="1"/>
    <xf numFmtId="3" fontId="1" fillId="0" borderId="0" xfId="0" applyNumberFormat="1" applyFont="1"/>
    <xf numFmtId="0" fontId="1" fillId="0" borderId="9" xfId="0" applyFont="1" applyBorder="1"/>
    <xf numFmtId="0" fontId="0" fillId="2" borderId="2" xfId="0" applyFill="1" applyBorder="1"/>
    <xf numFmtId="0" fontId="7" fillId="0" borderId="22" xfId="0" applyFont="1" applyBorder="1"/>
    <xf numFmtId="0" fontId="0" fillId="5" borderId="23" xfId="0" applyFill="1" applyBorder="1"/>
    <xf numFmtId="0" fontId="0" fillId="5" borderId="24" xfId="0" applyFill="1" applyBorder="1"/>
    <xf numFmtId="0" fontId="1" fillId="0" borderId="25" xfId="0" applyFont="1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2" fillId="4" borderId="2" xfId="0" applyFont="1" applyFill="1" applyBorder="1" applyAlignment="1">
      <alignment horizontal="center" vertical="center"/>
    </xf>
    <xf numFmtId="0" fontId="14" fillId="4" borderId="2" xfId="1" applyFont="1" applyFill="1" applyBorder="1"/>
    <xf numFmtId="0" fontId="0" fillId="0" borderId="23" xfId="0" applyBorder="1"/>
    <xf numFmtId="0" fontId="0" fillId="0" borderId="24" xfId="0" applyBorder="1"/>
    <xf numFmtId="0" fontId="16" fillId="0" borderId="4" xfId="0" applyFont="1" applyBorder="1"/>
    <xf numFmtId="3" fontId="9" fillId="0" borderId="1" xfId="1" applyNumberFormat="1" applyFont="1" applyBorder="1"/>
    <xf numFmtId="3" fontId="9" fillId="0" borderId="1" xfId="0" applyNumberFormat="1" applyFont="1" applyBorder="1" applyAlignment="1">
      <alignment horizontal="center"/>
    </xf>
    <xf numFmtId="17" fontId="0" fillId="0" borderId="0" xfId="0" applyNumberFormat="1"/>
    <xf numFmtId="3" fontId="0" fillId="0" borderId="2" xfId="0" applyNumberFormat="1" applyBorder="1"/>
    <xf numFmtId="0" fontId="0" fillId="3" borderId="29" xfId="0" applyFill="1" applyBorder="1"/>
    <xf numFmtId="0" fontId="0" fillId="3" borderId="30" xfId="0" applyFill="1" applyBorder="1"/>
    <xf numFmtId="0" fontId="0" fillId="3" borderId="31" xfId="0" applyFill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5" fillId="0" borderId="37" xfId="0" applyFont="1" applyBorder="1"/>
    <xf numFmtId="0" fontId="22" fillId="9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Normal" xfId="0" builtinId="0"/>
    <cellStyle name="Normal 2" xfId="2" xr:uid="{833EB122-5DE9-4914-86B1-EDC0FE7F2E5B}"/>
    <cellStyle name="Normal 3" xfId="1" xr:uid="{CF532AAF-12D6-4DAE-B4DB-48E11B8651AC}"/>
  </cellStyles>
  <dxfs count="0"/>
  <tableStyles count="0" defaultTableStyle="TableStyleMedium2" defaultPivotStyle="PivotStyleLight16"/>
  <colors>
    <mruColors>
      <color rgb="FF33CC33"/>
      <color rgb="FF00FFFF"/>
      <color rgb="FF29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8F58-30F2-49C8-965C-3B34A406C5D4}">
  <dimension ref="C5:N51"/>
  <sheetViews>
    <sheetView topLeftCell="A14" zoomScale="58" zoomScaleNormal="58" workbookViewId="0">
      <selection activeCell="D44" sqref="D44"/>
    </sheetView>
  </sheetViews>
  <sheetFormatPr defaultRowHeight="14.5" x14ac:dyDescent="0.35"/>
  <cols>
    <col min="4" max="4" width="12" customWidth="1"/>
    <col min="5" max="5" width="32.26953125" customWidth="1"/>
    <col min="6" max="6" width="11.54296875" customWidth="1"/>
    <col min="7" max="7" width="13.81640625" customWidth="1"/>
    <col min="8" max="8" width="12.54296875" customWidth="1"/>
    <col min="9" max="9" width="17.81640625" customWidth="1"/>
    <col min="10" max="10" width="10.36328125" bestFit="1" customWidth="1"/>
    <col min="11" max="11" width="10.36328125" customWidth="1"/>
    <col min="12" max="12" width="17.36328125" customWidth="1"/>
    <col min="13" max="13" width="22.36328125" customWidth="1"/>
    <col min="14" max="14" width="15.36328125" bestFit="1" customWidth="1"/>
    <col min="16" max="16" width="9.90625" bestFit="1" customWidth="1"/>
    <col min="19" max="19" width="12.1796875" customWidth="1"/>
    <col min="20" max="20" width="10.08984375" bestFit="1" customWidth="1"/>
  </cols>
  <sheetData>
    <row r="5" spans="3:14" ht="17" x14ac:dyDescent="0.5">
      <c r="C5" s="147" t="s">
        <v>149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</row>
    <row r="6" spans="3:14" ht="17" x14ac:dyDescent="0.5">
      <c r="C6" s="147" t="s">
        <v>150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</row>
    <row r="7" spans="3:14" x14ac:dyDescent="0.35">
      <c r="C7" s="1" t="s">
        <v>0</v>
      </c>
      <c r="D7" s="26" t="s">
        <v>1</v>
      </c>
      <c r="E7" s="26" t="s">
        <v>2</v>
      </c>
      <c r="F7" s="26" t="s">
        <v>3</v>
      </c>
      <c r="G7" s="26" t="s">
        <v>4</v>
      </c>
      <c r="H7" s="26" t="s">
        <v>46</v>
      </c>
      <c r="I7" s="26" t="s">
        <v>135</v>
      </c>
      <c r="J7" s="26" t="s">
        <v>48</v>
      </c>
      <c r="K7" s="26" t="s">
        <v>49</v>
      </c>
      <c r="L7" s="26" t="s">
        <v>47</v>
      </c>
      <c r="M7" s="26" t="s">
        <v>45</v>
      </c>
      <c r="N7" s="26" t="s">
        <v>44</v>
      </c>
    </row>
    <row r="8" spans="3:14" x14ac:dyDescent="0.35">
      <c r="C8" t="s">
        <v>5</v>
      </c>
      <c r="D8" s="2">
        <v>1</v>
      </c>
      <c r="E8" s="3" t="s">
        <v>6</v>
      </c>
      <c r="F8" s="4">
        <v>13</v>
      </c>
      <c r="G8" s="4" t="s">
        <v>7</v>
      </c>
      <c r="H8" s="21">
        <v>155000</v>
      </c>
      <c r="I8" s="21">
        <f>(H8*F8)</f>
        <v>2015000</v>
      </c>
      <c r="J8" s="4">
        <v>3</v>
      </c>
      <c r="K8" s="4">
        <v>4650</v>
      </c>
      <c r="L8" s="4">
        <f>(K8*F8)</f>
        <v>60450</v>
      </c>
      <c r="M8" s="31">
        <f>(K8+H8)</f>
        <v>159650</v>
      </c>
      <c r="N8" s="5">
        <f>(M8*F8)</f>
        <v>2075450</v>
      </c>
    </row>
    <row r="9" spans="3:14" x14ac:dyDescent="0.35">
      <c r="C9" s="6"/>
      <c r="D9" s="7"/>
      <c r="E9" s="8" t="s">
        <v>8</v>
      </c>
      <c r="F9" s="9"/>
      <c r="G9" s="9"/>
      <c r="H9" s="9"/>
      <c r="I9" s="21">
        <f t="shared" ref="I9:I42" si="0">(H9*F9)</f>
        <v>0</v>
      </c>
      <c r="J9" s="9"/>
      <c r="K9" s="9"/>
      <c r="L9" s="4">
        <f t="shared" ref="L9:L38" si="1">(K9*F9)</f>
        <v>0</v>
      </c>
      <c r="M9" s="31">
        <f t="shared" ref="M9:M38" si="2">(K9+H9)</f>
        <v>0</v>
      </c>
      <c r="N9" s="5">
        <f t="shared" ref="N9:N39" si="3">(M9*F9)</f>
        <v>0</v>
      </c>
    </row>
    <row r="10" spans="3:14" x14ac:dyDescent="0.35">
      <c r="C10" t="s">
        <v>5</v>
      </c>
      <c r="D10" s="2">
        <v>2</v>
      </c>
      <c r="E10" s="3" t="s">
        <v>9</v>
      </c>
      <c r="F10" s="10">
        <v>260</v>
      </c>
      <c r="G10" s="10" t="s">
        <v>10</v>
      </c>
      <c r="H10" s="22">
        <v>36000</v>
      </c>
      <c r="I10" s="21">
        <f t="shared" si="0"/>
        <v>9360000</v>
      </c>
      <c r="J10" s="10">
        <v>5</v>
      </c>
      <c r="K10" s="10">
        <v>1800</v>
      </c>
      <c r="L10" s="4">
        <f t="shared" si="1"/>
        <v>468000</v>
      </c>
      <c r="M10" s="31">
        <f t="shared" si="2"/>
        <v>37800</v>
      </c>
      <c r="N10" s="5">
        <f t="shared" si="3"/>
        <v>9828000</v>
      </c>
    </row>
    <row r="11" spans="3:14" x14ac:dyDescent="0.35">
      <c r="C11" t="s">
        <v>5</v>
      </c>
      <c r="D11" s="2">
        <v>3</v>
      </c>
      <c r="E11" s="3" t="s">
        <v>11</v>
      </c>
      <c r="F11" s="4">
        <v>3</v>
      </c>
      <c r="G11" s="4" t="s">
        <v>12</v>
      </c>
      <c r="H11" s="21">
        <v>30000</v>
      </c>
      <c r="I11" s="21">
        <f t="shared" si="0"/>
        <v>90000</v>
      </c>
      <c r="J11" s="4">
        <v>3</v>
      </c>
      <c r="K11" s="4">
        <v>900</v>
      </c>
      <c r="L11" s="4">
        <f t="shared" si="1"/>
        <v>2700</v>
      </c>
      <c r="M11" s="31">
        <f t="shared" si="2"/>
        <v>30900</v>
      </c>
      <c r="N11" s="5">
        <f t="shared" si="3"/>
        <v>92700</v>
      </c>
    </row>
    <row r="12" spans="3:14" x14ac:dyDescent="0.35">
      <c r="C12" t="s">
        <v>13</v>
      </c>
      <c r="D12" s="2">
        <v>4</v>
      </c>
      <c r="E12" s="3" t="s">
        <v>14</v>
      </c>
      <c r="F12" s="4">
        <v>10</v>
      </c>
      <c r="G12" s="4" t="s">
        <v>10</v>
      </c>
      <c r="H12" s="21">
        <v>25000</v>
      </c>
      <c r="I12" s="21">
        <f t="shared" si="0"/>
        <v>250000</v>
      </c>
      <c r="J12" s="4">
        <v>4</v>
      </c>
      <c r="K12" s="4">
        <v>1000</v>
      </c>
      <c r="L12" s="4">
        <f t="shared" si="1"/>
        <v>10000</v>
      </c>
      <c r="M12" s="31">
        <f t="shared" si="2"/>
        <v>26000</v>
      </c>
      <c r="N12" s="5">
        <f t="shared" si="3"/>
        <v>260000</v>
      </c>
    </row>
    <row r="13" spans="3:14" x14ac:dyDescent="0.35">
      <c r="C13" t="s">
        <v>5</v>
      </c>
      <c r="D13" s="2">
        <v>5</v>
      </c>
      <c r="E13" s="3" t="s">
        <v>15</v>
      </c>
      <c r="F13" s="4">
        <v>65</v>
      </c>
      <c r="G13" s="4" t="s">
        <v>10</v>
      </c>
      <c r="H13" s="21">
        <v>18000</v>
      </c>
      <c r="I13" s="21">
        <f t="shared" si="0"/>
        <v>1170000</v>
      </c>
      <c r="J13" s="4">
        <v>3</v>
      </c>
      <c r="K13" s="4">
        <v>540</v>
      </c>
      <c r="L13" s="4">
        <f t="shared" si="1"/>
        <v>35100</v>
      </c>
      <c r="M13" s="31">
        <f t="shared" si="2"/>
        <v>18540</v>
      </c>
      <c r="N13" s="5">
        <f t="shared" si="3"/>
        <v>1205100</v>
      </c>
    </row>
    <row r="14" spans="3:14" x14ac:dyDescent="0.35">
      <c r="C14" t="s">
        <v>13</v>
      </c>
      <c r="D14" s="2">
        <v>6</v>
      </c>
      <c r="E14" s="3" t="s">
        <v>16</v>
      </c>
      <c r="F14" s="4">
        <v>6</v>
      </c>
      <c r="G14" s="4" t="s">
        <v>10</v>
      </c>
      <c r="H14" s="21">
        <v>40000</v>
      </c>
      <c r="I14" s="21">
        <f t="shared" si="0"/>
        <v>240000</v>
      </c>
      <c r="J14" s="4">
        <v>5</v>
      </c>
      <c r="K14" s="4">
        <v>2000</v>
      </c>
      <c r="L14" s="4">
        <f t="shared" si="1"/>
        <v>12000</v>
      </c>
      <c r="M14" s="31">
        <f t="shared" si="2"/>
        <v>42000</v>
      </c>
      <c r="N14" s="5">
        <f t="shared" si="3"/>
        <v>252000</v>
      </c>
    </row>
    <row r="15" spans="3:14" x14ac:dyDescent="0.35">
      <c r="C15" t="s">
        <v>13</v>
      </c>
      <c r="D15" s="4">
        <v>7</v>
      </c>
      <c r="E15" s="3" t="s">
        <v>17</v>
      </c>
      <c r="F15" s="4">
        <v>4</v>
      </c>
      <c r="G15" s="4" t="s">
        <v>10</v>
      </c>
      <c r="H15" s="21">
        <v>43000</v>
      </c>
      <c r="I15" s="21">
        <f t="shared" si="0"/>
        <v>172000</v>
      </c>
      <c r="J15" s="4">
        <v>5</v>
      </c>
      <c r="K15" s="4">
        <v>2150</v>
      </c>
      <c r="L15" s="4">
        <f t="shared" si="1"/>
        <v>8600</v>
      </c>
      <c r="M15" s="31">
        <f t="shared" si="2"/>
        <v>45150</v>
      </c>
      <c r="N15" s="5">
        <f t="shared" si="3"/>
        <v>180600</v>
      </c>
    </row>
    <row r="16" spans="3:14" x14ac:dyDescent="0.35">
      <c r="C16" t="s">
        <v>13</v>
      </c>
      <c r="D16" s="4">
        <v>8</v>
      </c>
      <c r="E16" s="3" t="s">
        <v>18</v>
      </c>
      <c r="F16" s="4">
        <v>1</v>
      </c>
      <c r="G16" s="4" t="s">
        <v>10</v>
      </c>
      <c r="H16" s="21">
        <v>75000</v>
      </c>
      <c r="I16" s="21">
        <f t="shared" si="0"/>
        <v>75000</v>
      </c>
      <c r="J16" s="4">
        <v>5</v>
      </c>
      <c r="K16" s="4">
        <v>3750</v>
      </c>
      <c r="L16" s="4">
        <f t="shared" si="1"/>
        <v>3750</v>
      </c>
      <c r="M16" s="31">
        <f t="shared" si="2"/>
        <v>78750</v>
      </c>
      <c r="N16" s="5">
        <f t="shared" si="3"/>
        <v>78750</v>
      </c>
    </row>
    <row r="17" spans="3:14" x14ac:dyDescent="0.35">
      <c r="C17" t="s">
        <v>13</v>
      </c>
      <c r="D17" s="4">
        <v>9</v>
      </c>
      <c r="E17" s="3" t="s">
        <v>19</v>
      </c>
      <c r="F17" s="4">
        <v>1</v>
      </c>
      <c r="G17" s="4" t="s">
        <v>10</v>
      </c>
      <c r="H17" s="21">
        <v>75000</v>
      </c>
      <c r="I17" s="21">
        <f t="shared" si="0"/>
        <v>75000</v>
      </c>
      <c r="J17" s="4">
        <v>5</v>
      </c>
      <c r="K17" s="4">
        <v>3750</v>
      </c>
      <c r="L17" s="4">
        <f t="shared" si="1"/>
        <v>3750</v>
      </c>
      <c r="M17" s="31">
        <f t="shared" si="2"/>
        <v>78750</v>
      </c>
      <c r="N17" s="5">
        <f t="shared" si="3"/>
        <v>78750</v>
      </c>
    </row>
    <row r="18" spans="3:14" x14ac:dyDescent="0.35">
      <c r="C18" t="s">
        <v>13</v>
      </c>
      <c r="D18" s="4">
        <v>10</v>
      </c>
      <c r="E18" s="3" t="s">
        <v>20</v>
      </c>
      <c r="F18" s="4">
        <v>8</v>
      </c>
      <c r="G18" s="4" t="s">
        <v>10</v>
      </c>
      <c r="H18" s="21">
        <v>30000</v>
      </c>
      <c r="I18" s="21">
        <f t="shared" si="0"/>
        <v>240000</v>
      </c>
      <c r="J18" s="4">
        <v>5</v>
      </c>
      <c r="K18" s="4">
        <v>1500</v>
      </c>
      <c r="L18" s="4">
        <f t="shared" si="1"/>
        <v>12000</v>
      </c>
      <c r="M18" s="31">
        <f t="shared" si="2"/>
        <v>31500</v>
      </c>
      <c r="N18" s="5">
        <f t="shared" si="3"/>
        <v>252000</v>
      </c>
    </row>
    <row r="19" spans="3:14" x14ac:dyDescent="0.35">
      <c r="C19" t="s">
        <v>13</v>
      </c>
      <c r="D19" s="11">
        <v>11</v>
      </c>
      <c r="E19" s="3" t="s">
        <v>21</v>
      </c>
      <c r="F19" s="4">
        <v>1</v>
      </c>
      <c r="G19" s="4" t="s">
        <v>10</v>
      </c>
      <c r="H19" s="21">
        <v>30000</v>
      </c>
      <c r="I19" s="21">
        <f t="shared" si="0"/>
        <v>30000</v>
      </c>
      <c r="J19" s="4">
        <v>5</v>
      </c>
      <c r="K19" s="4">
        <v>1500</v>
      </c>
      <c r="L19" s="4">
        <f t="shared" si="1"/>
        <v>1500</v>
      </c>
      <c r="M19" s="31">
        <f t="shared" si="2"/>
        <v>31500</v>
      </c>
      <c r="N19" s="5">
        <f t="shared" si="3"/>
        <v>31500</v>
      </c>
    </row>
    <row r="20" spans="3:14" x14ac:dyDescent="0.35">
      <c r="C20" t="s">
        <v>145</v>
      </c>
      <c r="D20" s="11">
        <v>12</v>
      </c>
      <c r="E20" s="3" t="s">
        <v>22</v>
      </c>
      <c r="F20" s="4">
        <v>3</v>
      </c>
      <c r="G20" s="4" t="s">
        <v>10</v>
      </c>
      <c r="H20" s="21">
        <v>44000</v>
      </c>
      <c r="I20" s="21">
        <f t="shared" si="0"/>
        <v>132000</v>
      </c>
      <c r="J20" s="4">
        <v>5</v>
      </c>
      <c r="K20" s="4">
        <v>2200</v>
      </c>
      <c r="L20" s="4">
        <f t="shared" si="1"/>
        <v>6600</v>
      </c>
      <c r="M20" s="31">
        <f t="shared" si="2"/>
        <v>46200</v>
      </c>
      <c r="N20" s="5">
        <f t="shared" si="3"/>
        <v>138600</v>
      </c>
    </row>
    <row r="21" spans="3:14" x14ac:dyDescent="0.35">
      <c r="C21" t="s">
        <v>13</v>
      </c>
      <c r="D21" s="11">
        <v>13</v>
      </c>
      <c r="E21" s="3" t="s">
        <v>23</v>
      </c>
      <c r="F21" s="4">
        <v>35</v>
      </c>
      <c r="G21" s="4" t="s">
        <v>10</v>
      </c>
      <c r="H21" s="21">
        <v>10000</v>
      </c>
      <c r="I21" s="21">
        <f t="shared" si="0"/>
        <v>350000</v>
      </c>
      <c r="J21" s="4">
        <v>5</v>
      </c>
      <c r="K21" s="4">
        <v>500</v>
      </c>
      <c r="L21" s="4">
        <f t="shared" si="1"/>
        <v>17500</v>
      </c>
      <c r="M21" s="31">
        <f t="shared" si="2"/>
        <v>10500</v>
      </c>
      <c r="N21" s="5">
        <f t="shared" si="3"/>
        <v>367500</v>
      </c>
    </row>
    <row r="22" spans="3:14" x14ac:dyDescent="0.35">
      <c r="C22" t="s">
        <v>13</v>
      </c>
      <c r="D22" s="11">
        <v>14</v>
      </c>
      <c r="E22" s="3" t="s">
        <v>24</v>
      </c>
      <c r="F22" s="4">
        <v>10</v>
      </c>
      <c r="G22" s="4" t="s">
        <v>10</v>
      </c>
      <c r="H22" s="21">
        <v>20000</v>
      </c>
      <c r="I22" s="21">
        <f t="shared" si="0"/>
        <v>200000</v>
      </c>
      <c r="J22" s="4">
        <v>5</v>
      </c>
      <c r="K22" s="4">
        <v>1000</v>
      </c>
      <c r="L22" s="4">
        <f t="shared" si="1"/>
        <v>10000</v>
      </c>
      <c r="M22" s="31">
        <f t="shared" si="2"/>
        <v>21000</v>
      </c>
      <c r="N22" s="5">
        <f t="shared" si="3"/>
        <v>210000</v>
      </c>
    </row>
    <row r="23" spans="3:14" x14ac:dyDescent="0.35">
      <c r="C23" t="s">
        <v>13</v>
      </c>
      <c r="D23" s="11">
        <v>15</v>
      </c>
      <c r="E23" s="3" t="s">
        <v>25</v>
      </c>
      <c r="F23" s="4">
        <v>1</v>
      </c>
      <c r="G23" s="4" t="s">
        <v>10</v>
      </c>
      <c r="H23" s="21">
        <v>350000</v>
      </c>
      <c r="I23" s="21">
        <f t="shared" si="0"/>
        <v>350000</v>
      </c>
      <c r="J23" s="4">
        <v>4</v>
      </c>
      <c r="K23" s="21">
        <v>14000</v>
      </c>
      <c r="L23" s="4">
        <f t="shared" si="1"/>
        <v>14000</v>
      </c>
      <c r="M23" s="31">
        <f t="shared" si="2"/>
        <v>364000</v>
      </c>
      <c r="N23" s="5">
        <f t="shared" si="3"/>
        <v>364000</v>
      </c>
    </row>
    <row r="24" spans="3:14" x14ac:dyDescent="0.35">
      <c r="C24" t="s">
        <v>5</v>
      </c>
      <c r="D24" s="11">
        <v>16</v>
      </c>
      <c r="E24" s="3" t="s">
        <v>26</v>
      </c>
      <c r="F24" s="4">
        <v>5</v>
      </c>
      <c r="G24" s="4" t="s">
        <v>27</v>
      </c>
      <c r="H24" s="21">
        <v>6000</v>
      </c>
      <c r="I24" s="21">
        <f t="shared" si="0"/>
        <v>30000</v>
      </c>
      <c r="J24" s="4">
        <v>3</v>
      </c>
      <c r="K24" s="4">
        <v>180</v>
      </c>
      <c r="L24" s="4">
        <f t="shared" si="1"/>
        <v>900</v>
      </c>
      <c r="M24" s="31">
        <f t="shared" si="2"/>
        <v>6180</v>
      </c>
      <c r="N24" s="5">
        <f t="shared" si="3"/>
        <v>30900</v>
      </c>
    </row>
    <row r="25" spans="3:14" x14ac:dyDescent="0.35">
      <c r="C25" t="s">
        <v>5</v>
      </c>
      <c r="D25" s="11">
        <v>17</v>
      </c>
      <c r="E25" s="3" t="s">
        <v>28</v>
      </c>
      <c r="F25" s="4">
        <v>1</v>
      </c>
      <c r="G25" s="4" t="s">
        <v>10</v>
      </c>
      <c r="H25" s="21">
        <v>20000</v>
      </c>
      <c r="I25" s="21">
        <f t="shared" si="0"/>
        <v>20000</v>
      </c>
      <c r="J25" s="4">
        <v>4</v>
      </c>
      <c r="K25" s="4">
        <v>800</v>
      </c>
      <c r="L25" s="4">
        <f t="shared" si="1"/>
        <v>800</v>
      </c>
      <c r="M25" s="31">
        <f t="shared" si="2"/>
        <v>20800</v>
      </c>
      <c r="N25" s="5">
        <f t="shared" si="3"/>
        <v>20800</v>
      </c>
    </row>
    <row r="26" spans="3:14" x14ac:dyDescent="0.35">
      <c r="C26" s="6"/>
      <c r="D26" s="12"/>
      <c r="E26" s="8" t="s">
        <v>29</v>
      </c>
      <c r="F26" s="9"/>
      <c r="G26" s="9"/>
      <c r="H26" s="9"/>
      <c r="I26" s="21">
        <f t="shared" si="0"/>
        <v>0</v>
      </c>
      <c r="J26" s="9"/>
      <c r="K26" s="9"/>
      <c r="L26" s="4">
        <f t="shared" si="1"/>
        <v>0</v>
      </c>
      <c r="M26" s="31">
        <f t="shared" si="2"/>
        <v>0</v>
      </c>
      <c r="N26" s="5">
        <f t="shared" si="3"/>
        <v>0</v>
      </c>
    </row>
    <row r="27" spans="3:14" x14ac:dyDescent="0.35">
      <c r="C27" t="s">
        <v>30</v>
      </c>
      <c r="D27" s="11">
        <v>18</v>
      </c>
      <c r="E27" s="3" t="s">
        <v>31</v>
      </c>
      <c r="F27" s="10">
        <v>297</v>
      </c>
      <c r="G27" s="10" t="s">
        <v>32</v>
      </c>
      <c r="H27" s="10">
        <v>2000</v>
      </c>
      <c r="I27" s="21">
        <f t="shared" si="0"/>
        <v>594000</v>
      </c>
      <c r="J27" s="10"/>
      <c r="K27" s="10">
        <v>500</v>
      </c>
      <c r="L27" s="4">
        <f t="shared" si="1"/>
        <v>148500</v>
      </c>
      <c r="M27" s="31">
        <f t="shared" si="2"/>
        <v>2500</v>
      </c>
      <c r="N27" s="5">
        <f t="shared" si="3"/>
        <v>742500</v>
      </c>
    </row>
    <row r="28" spans="3:14" x14ac:dyDescent="0.35">
      <c r="C28" t="s">
        <v>5</v>
      </c>
      <c r="D28" s="11">
        <v>19</v>
      </c>
      <c r="E28" s="3" t="s">
        <v>33</v>
      </c>
      <c r="F28" s="4">
        <v>6</v>
      </c>
      <c r="G28" s="4" t="s">
        <v>10</v>
      </c>
      <c r="H28" s="21">
        <v>11000</v>
      </c>
      <c r="I28" s="21">
        <f t="shared" si="0"/>
        <v>66000</v>
      </c>
      <c r="J28" s="4">
        <v>3</v>
      </c>
      <c r="K28" s="4">
        <v>330</v>
      </c>
      <c r="L28" s="4">
        <f t="shared" si="1"/>
        <v>1980</v>
      </c>
      <c r="M28" s="31">
        <f t="shared" si="2"/>
        <v>11330</v>
      </c>
      <c r="N28" s="5">
        <f t="shared" si="3"/>
        <v>67980</v>
      </c>
    </row>
    <row r="29" spans="3:14" x14ac:dyDescent="0.35">
      <c r="C29" t="s">
        <v>5</v>
      </c>
      <c r="D29" s="13">
        <v>20</v>
      </c>
      <c r="E29" s="3" t="s">
        <v>34</v>
      </c>
      <c r="F29" s="4">
        <v>1</v>
      </c>
      <c r="G29" s="4" t="s">
        <v>35</v>
      </c>
      <c r="H29" s="21">
        <v>12000</v>
      </c>
      <c r="I29" s="21">
        <f t="shared" si="0"/>
        <v>12000</v>
      </c>
      <c r="J29" s="4">
        <v>3</v>
      </c>
      <c r="K29" s="4">
        <v>360</v>
      </c>
      <c r="L29" s="4">
        <f t="shared" si="1"/>
        <v>360</v>
      </c>
      <c r="M29" s="31">
        <f t="shared" si="2"/>
        <v>12360</v>
      </c>
      <c r="N29" s="5">
        <f t="shared" si="3"/>
        <v>12360</v>
      </c>
    </row>
    <row r="30" spans="3:14" x14ac:dyDescent="0.35">
      <c r="C30" s="6"/>
      <c r="D30" s="9"/>
      <c r="E30" s="14" t="s">
        <v>36</v>
      </c>
      <c r="F30" s="15"/>
      <c r="G30" s="15"/>
      <c r="H30" s="15"/>
      <c r="I30" s="21">
        <f t="shared" si="0"/>
        <v>0</v>
      </c>
      <c r="J30" s="15"/>
      <c r="K30" s="15"/>
      <c r="L30" s="4">
        <f t="shared" si="1"/>
        <v>0</v>
      </c>
      <c r="M30" s="31">
        <f t="shared" si="2"/>
        <v>0</v>
      </c>
      <c r="N30" s="5">
        <f t="shared" si="3"/>
        <v>0</v>
      </c>
    </row>
    <row r="31" spans="3:14" x14ac:dyDescent="0.35">
      <c r="C31" t="s">
        <v>13</v>
      </c>
      <c r="D31" s="4">
        <v>21</v>
      </c>
      <c r="E31" s="5" t="s">
        <v>37</v>
      </c>
      <c r="F31" s="4">
        <v>170</v>
      </c>
      <c r="G31" s="4" t="s">
        <v>10</v>
      </c>
      <c r="H31" s="21">
        <v>12000</v>
      </c>
      <c r="I31" s="21">
        <f t="shared" si="0"/>
        <v>2040000</v>
      </c>
      <c r="J31" s="4">
        <v>5</v>
      </c>
      <c r="K31" s="4">
        <v>600</v>
      </c>
      <c r="L31" s="4">
        <f t="shared" si="1"/>
        <v>102000</v>
      </c>
      <c r="M31" s="31">
        <f t="shared" si="2"/>
        <v>12600</v>
      </c>
      <c r="N31" s="5">
        <f t="shared" si="3"/>
        <v>2142000</v>
      </c>
    </row>
    <row r="32" spans="3:14" x14ac:dyDescent="0.35">
      <c r="C32" t="s">
        <v>13</v>
      </c>
      <c r="D32" s="4">
        <v>22</v>
      </c>
      <c r="E32" s="5" t="s">
        <v>38</v>
      </c>
      <c r="F32" s="4">
        <v>4</v>
      </c>
      <c r="G32" s="4" t="s">
        <v>10</v>
      </c>
      <c r="H32" s="21">
        <v>43000</v>
      </c>
      <c r="I32" s="21">
        <f t="shared" si="0"/>
        <v>172000</v>
      </c>
      <c r="J32" s="4">
        <v>5</v>
      </c>
      <c r="K32" s="4">
        <v>2150</v>
      </c>
      <c r="L32" s="4">
        <f t="shared" si="1"/>
        <v>8600</v>
      </c>
      <c r="M32" s="31">
        <f t="shared" si="2"/>
        <v>45150</v>
      </c>
      <c r="N32" s="5">
        <f t="shared" si="3"/>
        <v>180600</v>
      </c>
    </row>
    <row r="33" spans="3:14" x14ac:dyDescent="0.35">
      <c r="C33" t="s">
        <v>5</v>
      </c>
      <c r="D33" s="4">
        <v>23</v>
      </c>
      <c r="E33" s="5" t="s">
        <v>50</v>
      </c>
      <c r="F33" s="4">
        <v>1</v>
      </c>
      <c r="G33" s="4" t="s">
        <v>39</v>
      </c>
      <c r="H33" s="21">
        <v>70000</v>
      </c>
      <c r="I33" s="21">
        <f t="shared" si="0"/>
        <v>70000</v>
      </c>
      <c r="J33" s="4">
        <v>3</v>
      </c>
      <c r="K33" s="4">
        <v>2100</v>
      </c>
      <c r="L33" s="4">
        <f t="shared" si="1"/>
        <v>2100</v>
      </c>
      <c r="M33" s="31">
        <f t="shared" si="2"/>
        <v>72100</v>
      </c>
      <c r="N33" s="5">
        <f t="shared" si="3"/>
        <v>72100</v>
      </c>
    </row>
    <row r="34" spans="3:14" x14ac:dyDescent="0.35">
      <c r="C34" t="s">
        <v>5</v>
      </c>
      <c r="D34" s="4">
        <v>24</v>
      </c>
      <c r="E34" s="5" t="s">
        <v>26</v>
      </c>
      <c r="F34" s="4">
        <v>3</v>
      </c>
      <c r="G34" s="4" t="s">
        <v>27</v>
      </c>
      <c r="H34" s="21">
        <v>6000</v>
      </c>
      <c r="I34" s="21">
        <f t="shared" si="0"/>
        <v>18000</v>
      </c>
      <c r="J34" s="4">
        <v>3</v>
      </c>
      <c r="K34" s="4">
        <v>180</v>
      </c>
      <c r="L34" s="4">
        <f t="shared" si="1"/>
        <v>540</v>
      </c>
      <c r="M34" s="31">
        <f t="shared" si="2"/>
        <v>6180</v>
      </c>
      <c r="N34" s="5">
        <f t="shared" si="3"/>
        <v>18540</v>
      </c>
    </row>
    <row r="35" spans="3:14" x14ac:dyDescent="0.35">
      <c r="C35" t="s">
        <v>5</v>
      </c>
      <c r="D35" s="4">
        <v>25</v>
      </c>
      <c r="E35" s="5" t="s">
        <v>28</v>
      </c>
      <c r="F35" s="4"/>
      <c r="G35" s="4"/>
      <c r="H35" s="4"/>
      <c r="I35" s="21">
        <f t="shared" si="0"/>
        <v>0</v>
      </c>
      <c r="J35" s="4"/>
      <c r="K35" s="4"/>
      <c r="L35" s="4">
        <f t="shared" si="1"/>
        <v>0</v>
      </c>
      <c r="M35" s="31">
        <f t="shared" si="2"/>
        <v>0</v>
      </c>
      <c r="N35" s="5">
        <f t="shared" si="3"/>
        <v>0</v>
      </c>
    </row>
    <row r="36" spans="3:14" x14ac:dyDescent="0.35">
      <c r="C36" t="s">
        <v>5</v>
      </c>
      <c r="D36" s="4">
        <v>26</v>
      </c>
      <c r="E36" s="5" t="s">
        <v>40</v>
      </c>
      <c r="F36" s="4">
        <v>5</v>
      </c>
      <c r="G36" s="4" t="s">
        <v>10</v>
      </c>
      <c r="H36" s="21">
        <v>22000</v>
      </c>
      <c r="I36" s="21">
        <f t="shared" si="0"/>
        <v>110000</v>
      </c>
      <c r="J36" s="4">
        <v>3</v>
      </c>
      <c r="K36" s="4">
        <v>660</v>
      </c>
      <c r="L36" s="4">
        <f t="shared" si="1"/>
        <v>3300</v>
      </c>
      <c r="M36" s="31">
        <f t="shared" si="2"/>
        <v>22660</v>
      </c>
      <c r="N36" s="5">
        <f t="shared" si="3"/>
        <v>113300</v>
      </c>
    </row>
    <row r="37" spans="3:14" x14ac:dyDescent="0.35">
      <c r="C37" s="6"/>
      <c r="D37" s="4"/>
      <c r="E37" s="16" t="s">
        <v>41</v>
      </c>
      <c r="F37" s="17"/>
      <c r="G37" s="17"/>
      <c r="H37" s="17"/>
      <c r="I37" s="21">
        <f t="shared" si="0"/>
        <v>0</v>
      </c>
      <c r="J37" s="17"/>
      <c r="K37" s="17"/>
      <c r="L37" s="4">
        <f t="shared" si="1"/>
        <v>0</v>
      </c>
      <c r="M37" s="31">
        <f t="shared" si="2"/>
        <v>0</v>
      </c>
      <c r="N37" s="5">
        <f t="shared" si="3"/>
        <v>0</v>
      </c>
    </row>
    <row r="38" spans="3:14" x14ac:dyDescent="0.35">
      <c r="C38" t="s">
        <v>128</v>
      </c>
      <c r="D38" s="4">
        <v>27</v>
      </c>
      <c r="E38" s="5" t="s">
        <v>77</v>
      </c>
      <c r="F38" s="4">
        <v>160</v>
      </c>
      <c r="G38" s="4" t="s">
        <v>10</v>
      </c>
      <c r="H38" s="4">
        <v>16500</v>
      </c>
      <c r="I38" s="21">
        <f t="shared" si="0"/>
        <v>2640000</v>
      </c>
      <c r="J38" s="4">
        <v>5</v>
      </c>
      <c r="K38" s="4">
        <v>825</v>
      </c>
      <c r="L38" s="4">
        <f t="shared" si="1"/>
        <v>132000</v>
      </c>
      <c r="M38" s="31">
        <f t="shared" si="2"/>
        <v>17325</v>
      </c>
      <c r="N38" s="5">
        <f t="shared" si="3"/>
        <v>2772000</v>
      </c>
    </row>
    <row r="39" spans="3:14" x14ac:dyDescent="0.35">
      <c r="C39" t="s">
        <v>128</v>
      </c>
      <c r="D39" s="4">
        <v>28</v>
      </c>
      <c r="E39" s="5" t="s">
        <v>129</v>
      </c>
      <c r="F39" s="4">
        <v>1</v>
      </c>
      <c r="G39" s="4" t="s">
        <v>90</v>
      </c>
      <c r="H39" s="4">
        <v>54000</v>
      </c>
      <c r="I39" s="21">
        <f t="shared" si="0"/>
        <v>54000</v>
      </c>
      <c r="J39" s="29">
        <v>0.05</v>
      </c>
      <c r="K39" s="4">
        <f>(J39*H39)</f>
        <v>2700</v>
      </c>
      <c r="L39" s="4">
        <f>(K39*F39)</f>
        <v>2700</v>
      </c>
      <c r="M39" s="31">
        <f>(K39+H39)</f>
        <v>56700</v>
      </c>
      <c r="N39" s="5">
        <f t="shared" si="3"/>
        <v>56700</v>
      </c>
    </row>
    <row r="40" spans="3:14" x14ac:dyDescent="0.35">
      <c r="C40" t="s">
        <v>128</v>
      </c>
      <c r="D40" s="4">
        <v>29</v>
      </c>
      <c r="E40" s="5" t="s">
        <v>130</v>
      </c>
      <c r="F40" s="4">
        <v>3</v>
      </c>
      <c r="G40" s="4" t="s">
        <v>10</v>
      </c>
      <c r="H40" s="4">
        <v>10000</v>
      </c>
      <c r="I40" s="21">
        <f t="shared" si="0"/>
        <v>30000</v>
      </c>
      <c r="J40" s="4">
        <v>5</v>
      </c>
      <c r="K40" s="4">
        <f t="shared" ref="K40:K42" si="4">(J40*H40)</f>
        <v>50000</v>
      </c>
      <c r="L40" s="4">
        <f t="shared" ref="L40:L42" si="5">(K40*F40)</f>
        <v>150000</v>
      </c>
      <c r="M40" s="31">
        <f t="shared" ref="M40:M42" si="6">(K40+H40)</f>
        <v>60000</v>
      </c>
      <c r="N40" s="5">
        <f>(M40*F40)</f>
        <v>180000</v>
      </c>
    </row>
    <row r="41" spans="3:14" x14ac:dyDescent="0.35">
      <c r="C41" t="s">
        <v>128</v>
      </c>
      <c r="D41" s="4">
        <v>30</v>
      </c>
      <c r="E41" s="5" t="s">
        <v>23</v>
      </c>
      <c r="F41" s="4">
        <v>1</v>
      </c>
      <c r="G41" s="4" t="s">
        <v>10</v>
      </c>
      <c r="H41" s="4">
        <v>7000</v>
      </c>
      <c r="I41" s="21">
        <f t="shared" si="0"/>
        <v>7000</v>
      </c>
      <c r="J41" s="4">
        <v>5</v>
      </c>
      <c r="K41" s="4">
        <f t="shared" si="4"/>
        <v>35000</v>
      </c>
      <c r="L41" s="4">
        <f t="shared" si="5"/>
        <v>35000</v>
      </c>
      <c r="M41" s="31">
        <f t="shared" si="6"/>
        <v>42000</v>
      </c>
      <c r="N41" s="5">
        <f t="shared" ref="N41:N42" si="7">(M41*F41)</f>
        <v>42000</v>
      </c>
    </row>
    <row r="42" spans="3:14" x14ac:dyDescent="0.35">
      <c r="C42" t="s">
        <v>128</v>
      </c>
      <c r="D42" s="4">
        <v>31</v>
      </c>
      <c r="E42" s="5" t="s">
        <v>131</v>
      </c>
      <c r="F42" s="4">
        <v>1</v>
      </c>
      <c r="G42" s="4" t="s">
        <v>10</v>
      </c>
      <c r="H42" s="4">
        <v>18000</v>
      </c>
      <c r="I42" s="21">
        <f t="shared" si="0"/>
        <v>18000</v>
      </c>
      <c r="J42" s="4">
        <v>4</v>
      </c>
      <c r="K42" s="4">
        <f t="shared" si="4"/>
        <v>72000</v>
      </c>
      <c r="L42" s="4">
        <f t="shared" si="5"/>
        <v>72000</v>
      </c>
      <c r="M42" s="31">
        <f t="shared" si="6"/>
        <v>90000</v>
      </c>
      <c r="N42" s="5">
        <f t="shared" si="7"/>
        <v>90000</v>
      </c>
    </row>
    <row r="43" spans="3:14" x14ac:dyDescent="0.35">
      <c r="D43" s="4"/>
      <c r="E43" s="5"/>
      <c r="F43" s="4"/>
      <c r="G43" s="4"/>
      <c r="H43" s="4"/>
      <c r="I43" s="4"/>
      <c r="J43" s="4"/>
      <c r="K43" s="4"/>
      <c r="L43" s="4"/>
      <c r="M43" s="31"/>
      <c r="N43" s="59"/>
    </row>
    <row r="44" spans="3:14" ht="34" customHeight="1" thickBot="1" x14ac:dyDescent="0.6">
      <c r="D44" s="18"/>
      <c r="F44" s="18"/>
      <c r="G44" s="18"/>
      <c r="H44" s="18"/>
      <c r="I44" s="95">
        <f>SUM(I8:I42)</f>
        <v>20630000</v>
      </c>
      <c r="J44" s="18"/>
      <c r="K44" s="18"/>
      <c r="L44" s="96">
        <f>SUM(L8:L42)</f>
        <v>1326730</v>
      </c>
      <c r="N44" s="97">
        <f>SUM(N8:N42)</f>
        <v>21956730</v>
      </c>
    </row>
    <row r="45" spans="3:14" ht="16.5" thickTop="1" x14ac:dyDescent="0.4">
      <c r="E45" s="72" t="s">
        <v>42</v>
      </c>
      <c r="I45" s="20"/>
      <c r="L45" s="18"/>
      <c r="M45" s="32" t="s">
        <v>78</v>
      </c>
      <c r="N45" s="33">
        <v>21598810</v>
      </c>
    </row>
    <row r="46" spans="3:14" ht="16" x14ac:dyDescent="0.4">
      <c r="C46" s="80" t="s">
        <v>136</v>
      </c>
      <c r="D46" s="80" t="s">
        <v>137</v>
      </c>
      <c r="E46" s="80" t="s">
        <v>138</v>
      </c>
      <c r="F46" s="98" t="s">
        <v>139</v>
      </c>
      <c r="G46" s="80" t="s">
        <v>135</v>
      </c>
      <c r="H46" s="80" t="s">
        <v>48</v>
      </c>
      <c r="I46" s="80" t="s">
        <v>140</v>
      </c>
      <c r="J46" s="80" t="s">
        <v>141</v>
      </c>
      <c r="K46" s="80" t="s">
        <v>142</v>
      </c>
      <c r="L46" s="18"/>
      <c r="M46" s="65" t="s">
        <v>132</v>
      </c>
      <c r="N46" s="66">
        <f>(N44-N45)</f>
        <v>357920</v>
      </c>
    </row>
    <row r="47" spans="3:14" x14ac:dyDescent="0.35">
      <c r="C47" s="5" t="s">
        <v>103</v>
      </c>
      <c r="D47" s="5" t="s">
        <v>144</v>
      </c>
      <c r="E47" s="5" t="s">
        <v>143</v>
      </c>
      <c r="F47" s="5">
        <v>140000</v>
      </c>
      <c r="G47" s="31">
        <v>140000</v>
      </c>
      <c r="H47" s="48">
        <v>0.03</v>
      </c>
      <c r="I47" s="5">
        <f>(H47*F47)</f>
        <v>4200</v>
      </c>
      <c r="J47" s="31">
        <f>I47+G47</f>
        <v>144200</v>
      </c>
      <c r="K47" s="31">
        <v>144200</v>
      </c>
    </row>
    <row r="48" spans="3:14" x14ac:dyDescent="0.35">
      <c r="C48" s="5"/>
      <c r="D48" s="5"/>
      <c r="E48" s="5"/>
      <c r="F48" s="5"/>
      <c r="G48" s="5"/>
      <c r="H48" s="5"/>
      <c r="I48" s="5"/>
      <c r="J48" s="5"/>
      <c r="K48" s="5"/>
      <c r="N48" s="20"/>
    </row>
    <row r="49" spans="3:13" x14ac:dyDescent="0.35">
      <c r="C49" s="5"/>
      <c r="D49" s="5"/>
      <c r="E49" s="5"/>
      <c r="F49" s="5"/>
      <c r="G49" s="5"/>
      <c r="H49" s="5"/>
      <c r="I49" s="5"/>
      <c r="J49" s="5"/>
      <c r="K49" s="5"/>
      <c r="M49" s="20"/>
    </row>
    <row r="50" spans="3:13" x14ac:dyDescent="0.35">
      <c r="C50" s="5"/>
      <c r="D50" s="5"/>
      <c r="E50" s="5"/>
      <c r="F50" s="5"/>
      <c r="G50" s="5"/>
      <c r="H50" s="5"/>
      <c r="I50" s="5"/>
      <c r="J50" s="5"/>
      <c r="K50" s="5"/>
    </row>
    <row r="51" spans="3:13" x14ac:dyDescent="0.35">
      <c r="C51" s="5"/>
      <c r="D51" s="5"/>
      <c r="E51" s="5"/>
      <c r="F51" s="5"/>
      <c r="G51" s="5"/>
      <c r="H51" s="5"/>
      <c r="I51" s="5"/>
      <c r="J51" s="5"/>
      <c r="K51" s="5"/>
    </row>
  </sheetData>
  <mergeCells count="2">
    <mergeCell ref="C5:N5"/>
    <mergeCell ref="C6:N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030B-B4B8-4FEC-B417-5F7C8DC25329}">
  <dimension ref="B2:M54"/>
  <sheetViews>
    <sheetView topLeftCell="A24" zoomScale="70" zoomScaleNormal="70" workbookViewId="0">
      <selection activeCell="C37" sqref="C37:H41"/>
    </sheetView>
  </sheetViews>
  <sheetFormatPr defaultRowHeight="14.5" x14ac:dyDescent="0.35"/>
  <cols>
    <col min="4" max="4" width="31.453125" bestFit="1" customWidth="1"/>
    <col min="7" max="7" width="14.81640625" customWidth="1"/>
    <col min="8" max="8" width="12.90625" customWidth="1"/>
    <col min="10" max="10" width="15.1796875" bestFit="1" customWidth="1"/>
    <col min="11" max="11" width="12.453125" bestFit="1" customWidth="1"/>
    <col min="12" max="12" width="19.6328125" customWidth="1"/>
    <col min="13" max="13" width="14.6328125" bestFit="1" customWidth="1"/>
  </cols>
  <sheetData>
    <row r="2" spans="2:13" ht="14.5" customHeight="1" x14ac:dyDescent="0.35"/>
    <row r="3" spans="2:13" ht="15" customHeight="1" x14ac:dyDescent="0.5">
      <c r="B3" s="147" t="s">
        <v>149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4" spans="2:13" ht="15.5" customHeight="1" x14ac:dyDescent="0.5">
      <c r="B4" s="147" t="s">
        <v>151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</row>
    <row r="5" spans="2:13" x14ac:dyDescent="0.35">
      <c r="B5" s="19" t="s">
        <v>0</v>
      </c>
      <c r="C5" s="26" t="s">
        <v>1</v>
      </c>
      <c r="D5" s="26" t="s">
        <v>2</v>
      </c>
      <c r="E5" s="26" t="s">
        <v>3</v>
      </c>
      <c r="F5" s="26" t="s">
        <v>4</v>
      </c>
      <c r="G5" s="26" t="s">
        <v>46</v>
      </c>
      <c r="H5" s="26" t="s">
        <v>146</v>
      </c>
      <c r="I5" s="26" t="s">
        <v>48</v>
      </c>
      <c r="J5" s="26" t="s">
        <v>49</v>
      </c>
      <c r="K5" s="27" t="s">
        <v>47</v>
      </c>
      <c r="L5" s="26" t="s">
        <v>45</v>
      </c>
      <c r="M5" s="26" t="s">
        <v>44</v>
      </c>
    </row>
    <row r="6" spans="2:13" x14ac:dyDescent="0.35">
      <c r="C6" s="5"/>
      <c r="D6" s="23" t="s">
        <v>51</v>
      </c>
      <c r="E6" s="5"/>
      <c r="F6" s="5"/>
      <c r="G6" s="21"/>
      <c r="H6" s="21"/>
      <c r="I6" s="4"/>
      <c r="J6" s="4"/>
      <c r="K6" s="24"/>
      <c r="L6" s="5"/>
      <c r="M6" s="5"/>
    </row>
    <row r="7" spans="2:13" x14ac:dyDescent="0.35">
      <c r="B7" t="s">
        <v>5</v>
      </c>
      <c r="C7" s="2">
        <v>1</v>
      </c>
      <c r="D7" s="5" t="s">
        <v>52</v>
      </c>
      <c r="E7" s="4">
        <v>13</v>
      </c>
      <c r="F7" s="4" t="s">
        <v>53</v>
      </c>
      <c r="G7" s="21">
        <v>155000</v>
      </c>
      <c r="H7" s="21">
        <f>(G7*E7)</f>
        <v>2015000</v>
      </c>
      <c r="I7" s="29">
        <v>0.03</v>
      </c>
      <c r="J7" s="4">
        <f>(I7*G7)</f>
        <v>4650</v>
      </c>
      <c r="K7" s="38">
        <f>(J7*E7)</f>
        <v>60450</v>
      </c>
      <c r="L7" s="21">
        <f>(J7+G7)</f>
        <v>159650</v>
      </c>
      <c r="M7" s="5">
        <f>(L7*E7)</f>
        <v>2075450</v>
      </c>
    </row>
    <row r="8" spans="2:13" x14ac:dyDescent="0.35">
      <c r="B8" t="s">
        <v>13</v>
      </c>
      <c r="C8" s="2">
        <v>2</v>
      </c>
      <c r="D8" s="5" t="s">
        <v>54</v>
      </c>
      <c r="E8" s="4">
        <v>1</v>
      </c>
      <c r="F8" s="4" t="s">
        <v>10</v>
      </c>
      <c r="G8" s="22">
        <v>35000</v>
      </c>
      <c r="H8" s="21">
        <f t="shared" ref="H8:H41" si="0">(G8*E8)</f>
        <v>35000</v>
      </c>
      <c r="I8" s="30">
        <v>0.04</v>
      </c>
      <c r="J8" s="4">
        <f t="shared" ref="J8:J41" si="1">(I8*G8)</f>
        <v>1400</v>
      </c>
      <c r="K8" s="38">
        <f t="shared" ref="K8:K41" si="2">(J8*E8)</f>
        <v>1400</v>
      </c>
      <c r="L8" s="21">
        <f t="shared" ref="L8:L41" si="3">(J8+G8)</f>
        <v>36400</v>
      </c>
      <c r="M8" s="5">
        <f t="shared" ref="M8:M41" si="4">(L8*E8)</f>
        <v>36400</v>
      </c>
    </row>
    <row r="9" spans="2:13" x14ac:dyDescent="0.35">
      <c r="B9" t="s">
        <v>13</v>
      </c>
      <c r="C9" s="2">
        <v>3</v>
      </c>
      <c r="D9" s="5" t="s">
        <v>55</v>
      </c>
      <c r="E9" s="4">
        <v>1</v>
      </c>
      <c r="F9" s="4" t="s">
        <v>10</v>
      </c>
      <c r="G9" s="21">
        <v>15000</v>
      </c>
      <c r="H9" s="21">
        <f t="shared" si="0"/>
        <v>15000</v>
      </c>
      <c r="I9" s="29">
        <v>0.04</v>
      </c>
      <c r="J9" s="4">
        <f t="shared" si="1"/>
        <v>600</v>
      </c>
      <c r="K9" s="38">
        <f t="shared" si="2"/>
        <v>600</v>
      </c>
      <c r="L9" s="21">
        <f t="shared" si="3"/>
        <v>15600</v>
      </c>
      <c r="M9" s="5">
        <f t="shared" si="4"/>
        <v>15600</v>
      </c>
    </row>
    <row r="10" spans="2:13" x14ac:dyDescent="0.35">
      <c r="B10" t="s">
        <v>13</v>
      </c>
      <c r="C10" s="2">
        <v>4</v>
      </c>
      <c r="D10" s="5" t="s">
        <v>56</v>
      </c>
      <c r="E10" s="4">
        <v>1</v>
      </c>
      <c r="F10" s="4" t="s">
        <v>35</v>
      </c>
      <c r="G10" s="21">
        <v>12000</v>
      </c>
      <c r="H10" s="21">
        <f t="shared" si="0"/>
        <v>12000</v>
      </c>
      <c r="I10" s="29">
        <v>0.03</v>
      </c>
      <c r="J10" s="4">
        <f t="shared" si="1"/>
        <v>360</v>
      </c>
      <c r="K10" s="38">
        <f t="shared" si="2"/>
        <v>360</v>
      </c>
      <c r="L10" s="21">
        <f t="shared" si="3"/>
        <v>12360</v>
      </c>
      <c r="M10" s="5">
        <f t="shared" si="4"/>
        <v>12360</v>
      </c>
    </row>
    <row r="11" spans="2:13" x14ac:dyDescent="0.35">
      <c r="B11" t="s">
        <v>5</v>
      </c>
      <c r="C11" s="2">
        <v>5</v>
      </c>
      <c r="D11" s="5" t="s">
        <v>57</v>
      </c>
      <c r="E11" s="4">
        <v>1</v>
      </c>
      <c r="F11" s="4" t="s">
        <v>12</v>
      </c>
      <c r="G11" s="21">
        <v>30000</v>
      </c>
      <c r="H11" s="21">
        <f t="shared" si="0"/>
        <v>30000</v>
      </c>
      <c r="I11" s="29">
        <v>0.03</v>
      </c>
      <c r="J11" s="4">
        <f t="shared" si="1"/>
        <v>900</v>
      </c>
      <c r="K11" s="38">
        <f t="shared" si="2"/>
        <v>900</v>
      </c>
      <c r="L11" s="21">
        <f t="shared" si="3"/>
        <v>30900</v>
      </c>
      <c r="M11" s="5">
        <f t="shared" si="4"/>
        <v>30900</v>
      </c>
    </row>
    <row r="12" spans="2:13" x14ac:dyDescent="0.35">
      <c r="B12" s="6"/>
      <c r="C12" s="7"/>
      <c r="D12" s="14" t="s">
        <v>58</v>
      </c>
      <c r="E12" s="9"/>
      <c r="F12" s="9"/>
      <c r="G12" s="37"/>
      <c r="H12" s="21">
        <f t="shared" si="0"/>
        <v>0</v>
      </c>
      <c r="I12" s="9"/>
      <c r="J12" s="4">
        <f t="shared" si="1"/>
        <v>0</v>
      </c>
      <c r="K12" s="38">
        <f t="shared" si="2"/>
        <v>0</v>
      </c>
      <c r="L12" s="21">
        <f t="shared" si="3"/>
        <v>0</v>
      </c>
      <c r="M12" s="5">
        <f t="shared" si="4"/>
        <v>0</v>
      </c>
    </row>
    <row r="13" spans="2:13" x14ac:dyDescent="0.35">
      <c r="B13" t="s">
        <v>5</v>
      </c>
      <c r="C13" s="2">
        <v>6</v>
      </c>
      <c r="D13" s="5" t="s">
        <v>59</v>
      </c>
      <c r="E13" s="4">
        <v>78</v>
      </c>
      <c r="F13" s="4" t="s">
        <v>60</v>
      </c>
      <c r="G13" s="21">
        <v>56000</v>
      </c>
      <c r="H13" s="21">
        <f t="shared" si="0"/>
        <v>4368000</v>
      </c>
      <c r="I13" s="29">
        <v>0.04</v>
      </c>
      <c r="J13" s="4">
        <f t="shared" si="1"/>
        <v>2240</v>
      </c>
      <c r="K13" s="38">
        <f t="shared" si="2"/>
        <v>174720</v>
      </c>
      <c r="L13" s="21">
        <f t="shared" si="3"/>
        <v>58240</v>
      </c>
      <c r="M13" s="5">
        <f t="shared" si="4"/>
        <v>4542720</v>
      </c>
    </row>
    <row r="14" spans="2:13" x14ac:dyDescent="0.35">
      <c r="B14" t="s">
        <v>13</v>
      </c>
      <c r="C14" s="2">
        <v>7</v>
      </c>
      <c r="D14" s="5" t="s">
        <v>16</v>
      </c>
      <c r="E14" s="4">
        <v>2.5</v>
      </c>
      <c r="F14" s="4" t="s">
        <v>10</v>
      </c>
      <c r="G14" s="21">
        <v>45000</v>
      </c>
      <c r="H14" s="21">
        <f t="shared" si="0"/>
        <v>112500</v>
      </c>
      <c r="I14" s="29">
        <v>0.05</v>
      </c>
      <c r="J14" s="4">
        <f t="shared" si="1"/>
        <v>2250</v>
      </c>
      <c r="K14" s="38">
        <f t="shared" si="2"/>
        <v>5625</v>
      </c>
      <c r="L14" s="21">
        <f t="shared" si="3"/>
        <v>47250</v>
      </c>
      <c r="M14" s="5">
        <f t="shared" si="4"/>
        <v>118125</v>
      </c>
    </row>
    <row r="15" spans="2:13" x14ac:dyDescent="0.35">
      <c r="B15" t="s">
        <v>13</v>
      </c>
      <c r="C15" s="2">
        <v>8</v>
      </c>
      <c r="D15" s="5" t="s">
        <v>61</v>
      </c>
      <c r="E15" s="4">
        <v>1.5</v>
      </c>
      <c r="F15" s="4" t="s">
        <v>10</v>
      </c>
      <c r="G15" s="21">
        <v>45000</v>
      </c>
      <c r="H15" s="21">
        <f t="shared" si="0"/>
        <v>67500</v>
      </c>
      <c r="I15" s="29">
        <v>0.05</v>
      </c>
      <c r="J15" s="4">
        <f t="shared" si="1"/>
        <v>2250</v>
      </c>
      <c r="K15" s="38">
        <f t="shared" si="2"/>
        <v>3375</v>
      </c>
      <c r="L15" s="21">
        <f t="shared" si="3"/>
        <v>47250</v>
      </c>
      <c r="M15" s="5">
        <f t="shared" si="4"/>
        <v>70875</v>
      </c>
    </row>
    <row r="16" spans="2:13" x14ac:dyDescent="0.35">
      <c r="B16" t="s">
        <v>13</v>
      </c>
      <c r="C16" s="2">
        <v>9</v>
      </c>
      <c r="D16" s="5" t="s">
        <v>20</v>
      </c>
      <c r="E16" s="4">
        <v>3</v>
      </c>
      <c r="F16" s="4" t="s">
        <v>10</v>
      </c>
      <c r="G16" s="21">
        <v>40000</v>
      </c>
      <c r="H16" s="21">
        <f t="shared" si="0"/>
        <v>120000</v>
      </c>
      <c r="I16" s="29">
        <v>0.05</v>
      </c>
      <c r="J16" s="4">
        <f t="shared" si="1"/>
        <v>2000</v>
      </c>
      <c r="K16" s="38">
        <f t="shared" si="2"/>
        <v>6000</v>
      </c>
      <c r="L16" s="21">
        <f t="shared" si="3"/>
        <v>42000</v>
      </c>
      <c r="M16" s="5">
        <f t="shared" si="4"/>
        <v>126000</v>
      </c>
    </row>
    <row r="17" spans="2:13" x14ac:dyDescent="0.35">
      <c r="B17" t="s">
        <v>13</v>
      </c>
      <c r="C17" s="2">
        <v>10</v>
      </c>
      <c r="D17" s="5" t="s">
        <v>62</v>
      </c>
      <c r="E17" s="4">
        <v>1</v>
      </c>
      <c r="F17" s="4" t="s">
        <v>10</v>
      </c>
      <c r="G17" s="21">
        <v>70000</v>
      </c>
      <c r="H17" s="21">
        <f t="shared" si="0"/>
        <v>70000</v>
      </c>
      <c r="I17" s="29">
        <v>0.05</v>
      </c>
      <c r="J17" s="4">
        <f t="shared" si="1"/>
        <v>3500</v>
      </c>
      <c r="K17" s="38">
        <f t="shared" si="2"/>
        <v>3500</v>
      </c>
      <c r="L17" s="21">
        <f t="shared" si="3"/>
        <v>73500</v>
      </c>
      <c r="M17" s="5">
        <f t="shared" si="4"/>
        <v>73500</v>
      </c>
    </row>
    <row r="18" spans="2:13" x14ac:dyDescent="0.35">
      <c r="B18" t="s">
        <v>13</v>
      </c>
      <c r="C18" s="2">
        <v>11</v>
      </c>
      <c r="D18" s="5" t="s">
        <v>63</v>
      </c>
      <c r="E18" s="4">
        <v>1</v>
      </c>
      <c r="F18" s="4" t="s">
        <v>10</v>
      </c>
      <c r="G18" s="21">
        <v>25000</v>
      </c>
      <c r="H18" s="21">
        <f t="shared" si="0"/>
        <v>25000</v>
      </c>
      <c r="I18" s="29">
        <v>0.05</v>
      </c>
      <c r="J18" s="4">
        <f t="shared" si="1"/>
        <v>1250</v>
      </c>
      <c r="K18" s="38">
        <f t="shared" si="2"/>
        <v>1250</v>
      </c>
      <c r="L18" s="21">
        <f t="shared" si="3"/>
        <v>26250</v>
      </c>
      <c r="M18" s="5">
        <f t="shared" si="4"/>
        <v>26250</v>
      </c>
    </row>
    <row r="19" spans="2:13" x14ac:dyDescent="0.35">
      <c r="B19" t="s">
        <v>5</v>
      </c>
      <c r="C19" s="2">
        <v>12</v>
      </c>
      <c r="D19" s="5" t="s">
        <v>64</v>
      </c>
      <c r="E19" s="4">
        <v>27</v>
      </c>
      <c r="F19" s="4" t="s">
        <v>65</v>
      </c>
      <c r="G19" s="21">
        <v>27000</v>
      </c>
      <c r="H19" s="21">
        <f t="shared" si="0"/>
        <v>729000</v>
      </c>
      <c r="I19" s="29">
        <v>0.03</v>
      </c>
      <c r="J19" s="4">
        <f t="shared" si="1"/>
        <v>810</v>
      </c>
      <c r="K19" s="38">
        <f t="shared" si="2"/>
        <v>21870</v>
      </c>
      <c r="L19" s="21">
        <f t="shared" si="3"/>
        <v>27810</v>
      </c>
      <c r="M19" s="5">
        <f t="shared" si="4"/>
        <v>750870</v>
      </c>
    </row>
    <row r="20" spans="2:13" x14ac:dyDescent="0.35">
      <c r="B20" t="s">
        <v>5</v>
      </c>
      <c r="C20" s="2">
        <v>13</v>
      </c>
      <c r="D20" s="5" t="s">
        <v>66</v>
      </c>
      <c r="E20" s="4">
        <v>4</v>
      </c>
      <c r="F20" s="4" t="s">
        <v>39</v>
      </c>
      <c r="G20" s="21">
        <v>14000</v>
      </c>
      <c r="H20" s="21">
        <f t="shared" si="0"/>
        <v>56000</v>
      </c>
      <c r="I20" s="29">
        <v>0.03</v>
      </c>
      <c r="J20" s="4">
        <f t="shared" si="1"/>
        <v>420</v>
      </c>
      <c r="K20" s="38">
        <f t="shared" si="2"/>
        <v>1680</v>
      </c>
      <c r="L20" s="21">
        <f t="shared" si="3"/>
        <v>14420</v>
      </c>
      <c r="M20" s="5">
        <f t="shared" si="4"/>
        <v>57680</v>
      </c>
    </row>
    <row r="21" spans="2:13" x14ac:dyDescent="0.35">
      <c r="B21" t="s">
        <v>5</v>
      </c>
      <c r="C21" s="2">
        <v>14</v>
      </c>
      <c r="D21" s="5" t="s">
        <v>26</v>
      </c>
      <c r="E21" s="4">
        <v>2</v>
      </c>
      <c r="F21" s="4" t="s">
        <v>27</v>
      </c>
      <c r="G21" s="21">
        <v>6000</v>
      </c>
      <c r="H21" s="21">
        <f t="shared" si="0"/>
        <v>12000</v>
      </c>
      <c r="I21" s="29">
        <v>0.03</v>
      </c>
      <c r="J21" s="4">
        <f t="shared" si="1"/>
        <v>180</v>
      </c>
      <c r="K21" s="38">
        <f t="shared" si="2"/>
        <v>360</v>
      </c>
      <c r="L21" s="21">
        <f t="shared" si="3"/>
        <v>6180</v>
      </c>
      <c r="M21" s="5">
        <f t="shared" si="4"/>
        <v>12360</v>
      </c>
    </row>
    <row r="22" spans="2:13" x14ac:dyDescent="0.35">
      <c r="B22" t="s">
        <v>5</v>
      </c>
      <c r="C22" s="2">
        <v>15</v>
      </c>
      <c r="D22" s="5" t="s">
        <v>67</v>
      </c>
      <c r="E22" s="4">
        <v>1</v>
      </c>
      <c r="F22" s="4" t="s">
        <v>27</v>
      </c>
      <c r="G22" s="21">
        <v>12000</v>
      </c>
      <c r="H22" s="21">
        <f t="shared" si="0"/>
        <v>12000</v>
      </c>
      <c r="I22" s="29">
        <v>0.03</v>
      </c>
      <c r="J22" s="4">
        <f t="shared" si="1"/>
        <v>360</v>
      </c>
      <c r="K22" s="38">
        <f t="shared" si="2"/>
        <v>360</v>
      </c>
      <c r="L22" s="21">
        <f t="shared" si="3"/>
        <v>12360</v>
      </c>
      <c r="M22" s="5">
        <f t="shared" si="4"/>
        <v>12360</v>
      </c>
    </row>
    <row r="23" spans="2:13" x14ac:dyDescent="0.35">
      <c r="B23" t="s">
        <v>5</v>
      </c>
      <c r="C23" s="2">
        <v>16</v>
      </c>
      <c r="D23" s="5" t="s">
        <v>68</v>
      </c>
      <c r="E23" s="4">
        <v>65</v>
      </c>
      <c r="F23" s="4" t="s">
        <v>10</v>
      </c>
      <c r="G23" s="4">
        <v>18000</v>
      </c>
      <c r="H23" s="21">
        <f t="shared" si="0"/>
        <v>1170000</v>
      </c>
      <c r="I23" s="29">
        <v>0.03</v>
      </c>
      <c r="J23" s="4">
        <f t="shared" si="1"/>
        <v>540</v>
      </c>
      <c r="K23" s="38">
        <f t="shared" si="2"/>
        <v>35100</v>
      </c>
      <c r="L23" s="21">
        <f t="shared" si="3"/>
        <v>18540</v>
      </c>
      <c r="M23" s="5">
        <f t="shared" si="4"/>
        <v>1205100</v>
      </c>
    </row>
    <row r="24" spans="2:13" x14ac:dyDescent="0.35">
      <c r="B24" s="6"/>
      <c r="C24" s="7"/>
      <c r="D24" s="35" t="s">
        <v>69</v>
      </c>
      <c r="E24" s="9"/>
      <c r="F24" s="9"/>
      <c r="G24" s="36"/>
      <c r="H24" s="21">
        <f t="shared" si="0"/>
        <v>0</v>
      </c>
      <c r="I24" s="36"/>
      <c r="J24" s="4">
        <f t="shared" si="1"/>
        <v>0</v>
      </c>
      <c r="K24" s="38">
        <f t="shared" si="2"/>
        <v>0</v>
      </c>
      <c r="L24" s="21">
        <f t="shared" si="3"/>
        <v>0</v>
      </c>
      <c r="M24" s="5">
        <f t="shared" si="4"/>
        <v>0</v>
      </c>
    </row>
    <row r="25" spans="2:13" x14ac:dyDescent="0.35">
      <c r="B25" t="s">
        <v>30</v>
      </c>
      <c r="C25" s="2">
        <v>17</v>
      </c>
      <c r="D25" s="3" t="s">
        <v>70</v>
      </c>
      <c r="E25" s="10">
        <v>16.5</v>
      </c>
      <c r="F25" s="10" t="s">
        <v>32</v>
      </c>
      <c r="G25" s="21">
        <v>50000</v>
      </c>
      <c r="H25" s="21">
        <f t="shared" si="0"/>
        <v>825000</v>
      </c>
      <c r="I25" s="29">
        <v>0.05</v>
      </c>
      <c r="J25" s="4">
        <f t="shared" si="1"/>
        <v>2500</v>
      </c>
      <c r="K25" s="38">
        <f t="shared" si="2"/>
        <v>41250</v>
      </c>
      <c r="L25" s="21">
        <f t="shared" si="3"/>
        <v>52500</v>
      </c>
      <c r="M25" s="5">
        <f t="shared" si="4"/>
        <v>866250</v>
      </c>
    </row>
    <row r="26" spans="2:13" x14ac:dyDescent="0.35">
      <c r="B26" t="s">
        <v>5</v>
      </c>
      <c r="C26" s="2">
        <v>18</v>
      </c>
      <c r="D26" s="3" t="s">
        <v>33</v>
      </c>
      <c r="E26" s="4">
        <v>6</v>
      </c>
      <c r="F26" s="4" t="s">
        <v>10</v>
      </c>
      <c r="G26" s="21">
        <v>11000</v>
      </c>
      <c r="H26" s="21">
        <f t="shared" si="0"/>
        <v>66000</v>
      </c>
      <c r="I26" s="29">
        <v>0.03</v>
      </c>
      <c r="J26" s="4">
        <f t="shared" si="1"/>
        <v>330</v>
      </c>
      <c r="K26" s="38">
        <f t="shared" si="2"/>
        <v>1980</v>
      </c>
      <c r="L26" s="21">
        <f t="shared" si="3"/>
        <v>11330</v>
      </c>
      <c r="M26" s="5">
        <f t="shared" si="4"/>
        <v>67980</v>
      </c>
    </row>
    <row r="27" spans="2:13" x14ac:dyDescent="0.35">
      <c r="B27" s="6"/>
      <c r="C27" s="7"/>
      <c r="D27" s="14" t="s">
        <v>71</v>
      </c>
      <c r="E27" s="9"/>
      <c r="F27" s="9"/>
      <c r="G27" s="37"/>
      <c r="H27" s="21">
        <f t="shared" si="0"/>
        <v>0</v>
      </c>
      <c r="I27" s="9"/>
      <c r="J27" s="4">
        <f t="shared" si="1"/>
        <v>0</v>
      </c>
      <c r="K27" s="38">
        <f t="shared" si="2"/>
        <v>0</v>
      </c>
      <c r="L27" s="21">
        <f t="shared" si="3"/>
        <v>0</v>
      </c>
      <c r="M27" s="5">
        <f t="shared" si="4"/>
        <v>0</v>
      </c>
    </row>
    <row r="28" spans="2:13" x14ac:dyDescent="0.35">
      <c r="B28" t="s">
        <v>13</v>
      </c>
      <c r="C28" s="2">
        <v>19</v>
      </c>
      <c r="D28" s="5" t="s">
        <v>72</v>
      </c>
      <c r="E28" s="4">
        <v>160</v>
      </c>
      <c r="F28" s="4" t="s">
        <v>10</v>
      </c>
      <c r="G28" s="21">
        <v>15000</v>
      </c>
      <c r="H28" s="21">
        <f t="shared" si="0"/>
        <v>2400000</v>
      </c>
      <c r="I28" s="29">
        <v>0.05</v>
      </c>
      <c r="J28" s="4">
        <f t="shared" si="1"/>
        <v>750</v>
      </c>
      <c r="K28" s="38">
        <f t="shared" si="2"/>
        <v>120000</v>
      </c>
      <c r="L28" s="21">
        <f t="shared" si="3"/>
        <v>15750</v>
      </c>
      <c r="M28" s="5">
        <f t="shared" si="4"/>
        <v>2520000</v>
      </c>
    </row>
    <row r="29" spans="2:13" x14ac:dyDescent="0.35">
      <c r="B29" t="s">
        <v>13</v>
      </c>
      <c r="C29" s="2">
        <v>20</v>
      </c>
      <c r="D29" s="5" t="s">
        <v>17</v>
      </c>
      <c r="E29" s="4">
        <v>1.5</v>
      </c>
      <c r="F29" s="4" t="s">
        <v>10</v>
      </c>
      <c r="G29" s="21">
        <v>45000</v>
      </c>
      <c r="H29" s="21">
        <f t="shared" si="0"/>
        <v>67500</v>
      </c>
      <c r="I29" s="29">
        <v>0.05</v>
      </c>
      <c r="J29" s="4">
        <f t="shared" si="1"/>
        <v>2250</v>
      </c>
      <c r="K29" s="38">
        <f t="shared" si="2"/>
        <v>3375</v>
      </c>
      <c r="L29" s="21">
        <f t="shared" si="3"/>
        <v>47250</v>
      </c>
      <c r="M29" s="5">
        <f t="shared" si="4"/>
        <v>70875</v>
      </c>
    </row>
    <row r="30" spans="2:13" x14ac:dyDescent="0.35">
      <c r="B30" t="s">
        <v>13</v>
      </c>
      <c r="C30" s="2">
        <v>21</v>
      </c>
      <c r="D30" s="5" t="s">
        <v>16</v>
      </c>
      <c r="E30" s="4">
        <v>2</v>
      </c>
      <c r="F30" s="4" t="s">
        <v>10</v>
      </c>
      <c r="G30" s="21">
        <v>45000</v>
      </c>
      <c r="H30" s="21">
        <f t="shared" si="0"/>
        <v>90000</v>
      </c>
      <c r="I30" s="29">
        <v>0.05</v>
      </c>
      <c r="J30" s="4">
        <f t="shared" si="1"/>
        <v>2250</v>
      </c>
      <c r="K30" s="38">
        <f t="shared" si="2"/>
        <v>4500</v>
      </c>
      <c r="L30" s="21">
        <f t="shared" si="3"/>
        <v>47250</v>
      </c>
      <c r="M30" s="5">
        <f t="shared" si="4"/>
        <v>94500</v>
      </c>
    </row>
    <row r="31" spans="2:13" x14ac:dyDescent="0.35">
      <c r="B31" t="s">
        <v>5</v>
      </c>
      <c r="C31" s="2">
        <v>22</v>
      </c>
      <c r="D31" s="5" t="s">
        <v>73</v>
      </c>
      <c r="E31" s="4">
        <v>1</v>
      </c>
      <c r="F31" s="4" t="s">
        <v>10</v>
      </c>
      <c r="G31" s="4">
        <v>125000</v>
      </c>
      <c r="H31" s="21">
        <f t="shared" si="0"/>
        <v>125000</v>
      </c>
      <c r="I31" s="29">
        <v>0.05</v>
      </c>
      <c r="J31" s="4">
        <f t="shared" si="1"/>
        <v>6250</v>
      </c>
      <c r="K31" s="38">
        <f t="shared" si="2"/>
        <v>6250</v>
      </c>
      <c r="L31" s="21">
        <f t="shared" si="3"/>
        <v>131250</v>
      </c>
      <c r="M31" s="5">
        <f t="shared" si="4"/>
        <v>131250</v>
      </c>
    </row>
    <row r="32" spans="2:13" x14ac:dyDescent="0.35">
      <c r="B32" t="s">
        <v>13</v>
      </c>
      <c r="C32" s="2">
        <v>23</v>
      </c>
      <c r="D32" s="5" t="s">
        <v>74</v>
      </c>
      <c r="E32" s="4">
        <v>1</v>
      </c>
      <c r="F32" s="4" t="s">
        <v>10</v>
      </c>
      <c r="G32" s="21">
        <v>40000</v>
      </c>
      <c r="H32" s="21">
        <f t="shared" si="0"/>
        <v>40000</v>
      </c>
      <c r="I32" s="29">
        <v>0.05</v>
      </c>
      <c r="J32" s="4">
        <f t="shared" si="1"/>
        <v>2000</v>
      </c>
      <c r="K32" s="38">
        <f t="shared" si="2"/>
        <v>2000</v>
      </c>
      <c r="L32" s="21">
        <f t="shared" si="3"/>
        <v>42000</v>
      </c>
      <c r="M32" s="5">
        <f t="shared" si="4"/>
        <v>42000</v>
      </c>
    </row>
    <row r="33" spans="2:13" x14ac:dyDescent="0.35">
      <c r="B33" t="s">
        <v>5</v>
      </c>
      <c r="C33" s="2">
        <v>24</v>
      </c>
      <c r="D33" s="5" t="s">
        <v>75</v>
      </c>
      <c r="E33" s="4">
        <v>7</v>
      </c>
      <c r="F33" s="4" t="s">
        <v>39</v>
      </c>
      <c r="G33" s="4">
        <v>14000</v>
      </c>
      <c r="H33" s="21">
        <f t="shared" si="0"/>
        <v>98000</v>
      </c>
      <c r="I33" s="29">
        <v>0.03</v>
      </c>
      <c r="J33" s="4">
        <f t="shared" si="1"/>
        <v>420</v>
      </c>
      <c r="K33" s="38">
        <f t="shared" si="2"/>
        <v>2940</v>
      </c>
      <c r="L33" s="21">
        <f t="shared" si="3"/>
        <v>14420</v>
      </c>
      <c r="M33" s="5">
        <f t="shared" si="4"/>
        <v>100940</v>
      </c>
    </row>
    <row r="34" spans="2:13" x14ac:dyDescent="0.35">
      <c r="B34" t="s">
        <v>5</v>
      </c>
      <c r="C34" s="2">
        <v>25</v>
      </c>
      <c r="D34" s="5" t="s">
        <v>57</v>
      </c>
      <c r="E34" s="4">
        <v>1</v>
      </c>
      <c r="F34" s="4" t="s">
        <v>12</v>
      </c>
      <c r="G34" s="25">
        <v>30000</v>
      </c>
      <c r="H34" s="21">
        <f t="shared" si="0"/>
        <v>30000</v>
      </c>
      <c r="I34" s="34">
        <v>0.03</v>
      </c>
      <c r="J34" s="4">
        <f t="shared" si="1"/>
        <v>900</v>
      </c>
      <c r="K34" s="38">
        <f t="shared" si="2"/>
        <v>900</v>
      </c>
      <c r="L34" s="21">
        <f t="shared" si="3"/>
        <v>30900</v>
      </c>
      <c r="M34" s="5">
        <f t="shared" si="4"/>
        <v>30900</v>
      </c>
    </row>
    <row r="35" spans="2:13" x14ac:dyDescent="0.35">
      <c r="B35" t="s">
        <v>5</v>
      </c>
      <c r="C35" s="2">
        <v>26</v>
      </c>
      <c r="D35" s="5" t="s">
        <v>67</v>
      </c>
      <c r="E35" s="4">
        <v>1</v>
      </c>
      <c r="F35" s="4" t="s">
        <v>27</v>
      </c>
      <c r="G35" s="4">
        <v>12000</v>
      </c>
      <c r="H35" s="21">
        <f t="shared" si="0"/>
        <v>12000</v>
      </c>
      <c r="I35" s="29">
        <v>0.03</v>
      </c>
      <c r="J35" s="4">
        <f t="shared" si="1"/>
        <v>360</v>
      </c>
      <c r="K35" s="38">
        <f t="shared" si="2"/>
        <v>360</v>
      </c>
      <c r="L35" s="21">
        <f t="shared" si="3"/>
        <v>12360</v>
      </c>
      <c r="M35" s="5">
        <f t="shared" si="4"/>
        <v>12360</v>
      </c>
    </row>
    <row r="36" spans="2:13" x14ac:dyDescent="0.35">
      <c r="B36" s="6"/>
      <c r="C36" s="7"/>
      <c r="D36" s="14" t="s">
        <v>41</v>
      </c>
      <c r="E36" s="9"/>
      <c r="F36" s="9"/>
      <c r="G36" s="15"/>
      <c r="H36" s="21">
        <f t="shared" si="0"/>
        <v>0</v>
      </c>
      <c r="I36" s="15"/>
      <c r="J36" s="4">
        <f t="shared" si="1"/>
        <v>0</v>
      </c>
      <c r="K36" s="38">
        <f t="shared" si="2"/>
        <v>0</v>
      </c>
      <c r="L36" s="21">
        <f t="shared" si="3"/>
        <v>0</v>
      </c>
      <c r="M36" s="5">
        <f t="shared" si="4"/>
        <v>0</v>
      </c>
    </row>
    <row r="37" spans="2:13" x14ac:dyDescent="0.35">
      <c r="B37" t="s">
        <v>128</v>
      </c>
      <c r="C37" s="2">
        <v>27</v>
      </c>
      <c r="D37" s="5" t="s">
        <v>76</v>
      </c>
      <c r="E37" s="4">
        <v>170</v>
      </c>
      <c r="F37" s="4" t="s">
        <v>79</v>
      </c>
      <c r="G37" s="5">
        <v>15000</v>
      </c>
      <c r="H37" s="21">
        <f t="shared" si="0"/>
        <v>2550000</v>
      </c>
      <c r="I37" s="29">
        <v>0.05</v>
      </c>
      <c r="J37" s="4">
        <f t="shared" si="1"/>
        <v>750</v>
      </c>
      <c r="K37" s="38">
        <f t="shared" si="2"/>
        <v>127500</v>
      </c>
      <c r="L37" s="21">
        <f t="shared" si="3"/>
        <v>15750</v>
      </c>
      <c r="M37" s="5">
        <f t="shared" si="4"/>
        <v>2677500</v>
      </c>
    </row>
    <row r="38" spans="2:13" x14ac:dyDescent="0.35">
      <c r="B38" t="s">
        <v>128</v>
      </c>
      <c r="C38" s="2">
        <v>28</v>
      </c>
      <c r="D38" s="5" t="s">
        <v>59</v>
      </c>
      <c r="E38" s="4">
        <v>2</v>
      </c>
      <c r="F38" s="4" t="s">
        <v>121</v>
      </c>
      <c r="G38" s="4">
        <v>58000</v>
      </c>
      <c r="H38" s="21">
        <f t="shared" si="0"/>
        <v>116000</v>
      </c>
      <c r="I38" s="29">
        <v>0.05</v>
      </c>
      <c r="J38" s="4">
        <f t="shared" si="1"/>
        <v>2900</v>
      </c>
      <c r="K38" s="21">
        <f t="shared" si="2"/>
        <v>5800</v>
      </c>
      <c r="L38" s="21">
        <f t="shared" si="3"/>
        <v>60900</v>
      </c>
      <c r="M38" s="5">
        <f t="shared" si="4"/>
        <v>121800</v>
      </c>
    </row>
    <row r="39" spans="2:13" x14ac:dyDescent="0.35">
      <c r="B39" t="s">
        <v>128</v>
      </c>
      <c r="C39" s="2">
        <v>29</v>
      </c>
      <c r="D39" s="5" t="s">
        <v>122</v>
      </c>
      <c r="E39" s="4">
        <v>0.5</v>
      </c>
      <c r="F39" s="4" t="s">
        <v>123</v>
      </c>
      <c r="G39" s="4">
        <v>10000</v>
      </c>
      <c r="H39" s="21">
        <f t="shared" si="0"/>
        <v>5000</v>
      </c>
      <c r="I39" s="29">
        <v>0.05</v>
      </c>
      <c r="J39" s="4">
        <f t="shared" si="1"/>
        <v>500</v>
      </c>
      <c r="K39" s="21">
        <f t="shared" si="2"/>
        <v>250</v>
      </c>
      <c r="L39" s="21">
        <f t="shared" si="3"/>
        <v>10500</v>
      </c>
      <c r="M39" s="5">
        <f t="shared" si="4"/>
        <v>5250</v>
      </c>
    </row>
    <row r="40" spans="2:13" x14ac:dyDescent="0.35">
      <c r="B40" t="s">
        <v>128</v>
      </c>
      <c r="C40" s="2">
        <v>30</v>
      </c>
      <c r="D40" s="5" t="s">
        <v>124</v>
      </c>
      <c r="E40" s="4">
        <v>10</v>
      </c>
      <c r="F40" s="4" t="s">
        <v>125</v>
      </c>
      <c r="G40" s="4">
        <v>2000</v>
      </c>
      <c r="H40" s="21">
        <f t="shared" si="0"/>
        <v>20000</v>
      </c>
      <c r="I40" s="29">
        <v>0.05</v>
      </c>
      <c r="J40" s="4">
        <f t="shared" si="1"/>
        <v>100</v>
      </c>
      <c r="K40" s="21">
        <f t="shared" si="2"/>
        <v>1000</v>
      </c>
      <c r="L40" s="21">
        <f t="shared" si="3"/>
        <v>2100</v>
      </c>
      <c r="M40" s="5">
        <f t="shared" si="4"/>
        <v>21000</v>
      </c>
    </row>
    <row r="41" spans="2:13" ht="15" thickBot="1" x14ac:dyDescent="0.4">
      <c r="B41" t="s">
        <v>128</v>
      </c>
      <c r="C41" s="2">
        <v>31</v>
      </c>
      <c r="D41" s="5" t="s">
        <v>126</v>
      </c>
      <c r="E41" s="4">
        <v>6</v>
      </c>
      <c r="F41" s="4" t="s">
        <v>127</v>
      </c>
      <c r="G41" s="4">
        <v>1000</v>
      </c>
      <c r="H41" s="21">
        <f t="shared" si="0"/>
        <v>6000</v>
      </c>
      <c r="I41" s="29">
        <v>0.05</v>
      </c>
      <c r="J41" s="4">
        <f t="shared" si="1"/>
        <v>50</v>
      </c>
      <c r="K41" s="21">
        <f t="shared" si="2"/>
        <v>300</v>
      </c>
      <c r="L41" s="21">
        <f t="shared" si="3"/>
        <v>1050</v>
      </c>
      <c r="M41" s="59">
        <f t="shared" si="4"/>
        <v>6300</v>
      </c>
    </row>
    <row r="42" spans="2:13" ht="19" thickBot="1" x14ac:dyDescent="0.5">
      <c r="C42" s="56"/>
      <c r="E42" s="18"/>
      <c r="F42" s="18"/>
      <c r="G42" s="18"/>
      <c r="H42" s="73">
        <f>SUM(H7:H41)</f>
        <v>15299500</v>
      </c>
      <c r="I42" s="57"/>
      <c r="J42" s="18"/>
      <c r="K42" s="58"/>
      <c r="L42" s="58"/>
      <c r="M42" s="74"/>
    </row>
    <row r="43" spans="2:13" ht="22" thickTop="1" thickBot="1" x14ac:dyDescent="0.55000000000000004">
      <c r="E43" s="18"/>
      <c r="F43" s="18"/>
      <c r="G43" s="18"/>
      <c r="H43" s="58"/>
      <c r="K43" s="60">
        <f>SUM(K7:K41)</f>
        <v>635955</v>
      </c>
      <c r="L43" s="28"/>
      <c r="M43" s="75">
        <f>SUM(M7:M41)</f>
        <v>15935455</v>
      </c>
    </row>
    <row r="44" spans="2:13" ht="16.5" thickTop="1" x14ac:dyDescent="0.4">
      <c r="G44" s="20"/>
      <c r="H44" s="20"/>
      <c r="L44" s="32" t="s">
        <v>78</v>
      </c>
      <c r="M44" s="33">
        <v>21598810</v>
      </c>
    </row>
    <row r="45" spans="2:13" ht="16" x14ac:dyDescent="0.4">
      <c r="L45" s="65" t="s">
        <v>132</v>
      </c>
      <c r="M45" s="66">
        <f>(M43-M44)</f>
        <v>-5663355</v>
      </c>
    </row>
    <row r="46" spans="2:13" ht="16" x14ac:dyDescent="0.4">
      <c r="L46" s="78"/>
      <c r="M46" s="79"/>
    </row>
    <row r="47" spans="2:13" x14ac:dyDescent="0.35">
      <c r="F47" s="83" t="s">
        <v>147</v>
      </c>
      <c r="G47" s="83"/>
      <c r="J47" s="20"/>
    </row>
    <row r="48" spans="2:13" x14ac:dyDescent="0.35">
      <c r="D48" s="80" t="s">
        <v>136</v>
      </c>
      <c r="E48" s="80" t="s">
        <v>137</v>
      </c>
      <c r="F48" s="80" t="s">
        <v>138</v>
      </c>
      <c r="G48" s="81" t="s">
        <v>139</v>
      </c>
      <c r="H48" s="82" t="s">
        <v>135</v>
      </c>
      <c r="I48" s="82" t="s">
        <v>48</v>
      </c>
      <c r="J48" s="82" t="s">
        <v>140</v>
      </c>
      <c r="K48" s="82" t="s">
        <v>141</v>
      </c>
      <c r="L48" s="82" t="s">
        <v>142</v>
      </c>
      <c r="M48" s="20"/>
    </row>
    <row r="49" spans="4:12" x14ac:dyDescent="0.35">
      <c r="D49" s="5" t="s">
        <v>103</v>
      </c>
      <c r="E49" s="5" t="s">
        <v>144</v>
      </c>
      <c r="F49" s="5" t="s">
        <v>143</v>
      </c>
      <c r="G49" s="4">
        <v>140000</v>
      </c>
      <c r="H49" s="21">
        <v>140000</v>
      </c>
      <c r="I49" s="29">
        <v>0.03</v>
      </c>
      <c r="J49" s="4">
        <f>(I49*G49)</f>
        <v>4200</v>
      </c>
      <c r="K49" s="21">
        <f>J49+H49</f>
        <v>144200</v>
      </c>
      <c r="L49" s="21">
        <v>144200</v>
      </c>
    </row>
    <row r="50" spans="4:12" x14ac:dyDescent="0.35">
      <c r="D50" s="5"/>
      <c r="E50" s="5"/>
      <c r="F50" s="5"/>
      <c r="G50" s="4"/>
      <c r="H50" s="4"/>
      <c r="I50" s="4"/>
      <c r="J50" s="4"/>
      <c r="K50" s="4"/>
      <c r="L50" s="4"/>
    </row>
    <row r="51" spans="4:12" x14ac:dyDescent="0.35">
      <c r="D51" s="5"/>
      <c r="E51" s="5"/>
      <c r="F51" s="5"/>
      <c r="G51" s="4"/>
      <c r="H51" s="4"/>
      <c r="I51" s="4"/>
      <c r="J51" s="4"/>
      <c r="K51" s="4"/>
      <c r="L51" s="4"/>
    </row>
    <row r="52" spans="4:12" x14ac:dyDescent="0.35">
      <c r="D52" s="5"/>
      <c r="E52" s="5"/>
      <c r="F52" s="5"/>
      <c r="G52" s="4"/>
      <c r="H52" s="4"/>
      <c r="I52" s="5"/>
      <c r="J52" s="5"/>
      <c r="K52" s="5"/>
      <c r="L52" s="4"/>
    </row>
    <row r="53" spans="4:12" x14ac:dyDescent="0.35">
      <c r="D53" s="5"/>
      <c r="E53" s="5"/>
      <c r="F53" s="5"/>
      <c r="G53" s="4"/>
      <c r="H53" s="5"/>
      <c r="I53" s="5"/>
      <c r="J53" s="5"/>
      <c r="K53" s="5"/>
      <c r="L53" s="4"/>
    </row>
    <row r="54" spans="4:12" x14ac:dyDescent="0.35">
      <c r="G54" s="18"/>
    </row>
  </sheetData>
  <mergeCells count="2">
    <mergeCell ref="B4:M4"/>
    <mergeCell ref="B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CDD8-1CDE-4D0C-B2A5-38F111D9D17A}">
  <dimension ref="B3:M51"/>
  <sheetViews>
    <sheetView topLeftCell="A24" zoomScale="72" zoomScaleNormal="72" workbookViewId="0">
      <selection activeCell="D45" sqref="D45:H45"/>
    </sheetView>
  </sheetViews>
  <sheetFormatPr defaultRowHeight="14.5" x14ac:dyDescent="0.35"/>
  <cols>
    <col min="4" max="4" width="23.54296875" bestFit="1" customWidth="1"/>
    <col min="5" max="5" width="10.453125" customWidth="1"/>
    <col min="6" max="6" width="10" customWidth="1"/>
    <col min="7" max="7" width="8.90625" bestFit="1" customWidth="1"/>
    <col min="8" max="8" width="17.54296875" customWidth="1"/>
    <col min="10" max="10" width="13.36328125" customWidth="1"/>
    <col min="11" max="11" width="15.453125" customWidth="1"/>
    <col min="12" max="12" width="16" customWidth="1"/>
    <col min="13" max="13" width="17.26953125" customWidth="1"/>
  </cols>
  <sheetData>
    <row r="3" spans="2:13" ht="17" x14ac:dyDescent="0.5">
      <c r="B3" s="147" t="s">
        <v>149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4" spans="2:13" ht="17" x14ac:dyDescent="0.5">
      <c r="B4" s="147" t="s">
        <v>154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</row>
    <row r="5" spans="2:13" x14ac:dyDescent="0.35">
      <c r="B5" s="1" t="s">
        <v>0</v>
      </c>
      <c r="C5" s="46" t="s">
        <v>1</v>
      </c>
      <c r="D5" s="46" t="s">
        <v>2</v>
      </c>
      <c r="E5" s="46" t="s">
        <v>3</v>
      </c>
      <c r="F5" s="85" t="s">
        <v>4</v>
      </c>
      <c r="G5" s="61" t="s">
        <v>101</v>
      </c>
      <c r="H5" s="61" t="s">
        <v>146</v>
      </c>
      <c r="I5" s="46" t="s">
        <v>48</v>
      </c>
      <c r="J5" s="46" t="s">
        <v>49</v>
      </c>
      <c r="K5" s="46" t="s">
        <v>102</v>
      </c>
      <c r="L5" s="46" t="s">
        <v>45</v>
      </c>
      <c r="M5" s="46" t="s">
        <v>44</v>
      </c>
    </row>
    <row r="6" spans="2:13" x14ac:dyDescent="0.35">
      <c r="B6" t="s">
        <v>103</v>
      </c>
      <c r="C6" s="39">
        <v>1</v>
      </c>
      <c r="D6" s="44" t="s">
        <v>80</v>
      </c>
      <c r="E6" s="40">
        <v>14</v>
      </c>
      <c r="F6" s="40" t="s">
        <v>53</v>
      </c>
      <c r="G6" s="86">
        <v>155000</v>
      </c>
      <c r="H6" s="86">
        <f>(G6*E6)</f>
        <v>2170000</v>
      </c>
      <c r="I6" s="87">
        <v>0.03</v>
      </c>
      <c r="J6" s="88">
        <f>(I6*G6)</f>
        <v>4650</v>
      </c>
      <c r="K6" s="88">
        <f>(J6*E6)</f>
        <v>65100</v>
      </c>
      <c r="L6" s="89">
        <f>(J6+G6)</f>
        <v>159650</v>
      </c>
      <c r="M6" s="88">
        <f>(L6*E6)</f>
        <v>2235100</v>
      </c>
    </row>
    <row r="7" spans="2:13" x14ac:dyDescent="0.35">
      <c r="B7" s="6"/>
      <c r="C7" s="51"/>
      <c r="D7" s="52" t="s">
        <v>81</v>
      </c>
      <c r="E7" s="53"/>
      <c r="F7" s="53"/>
      <c r="G7" s="54"/>
      <c r="H7" s="47">
        <f t="shared" ref="H7:H45" si="0">(G7*E7)</f>
        <v>0</v>
      </c>
      <c r="I7" s="15"/>
      <c r="J7" s="5">
        <f t="shared" ref="J7:J45" si="1">(I7*G7)</f>
        <v>0</v>
      </c>
      <c r="K7" s="5">
        <f t="shared" ref="K7:K45" si="2">(J7*E7)</f>
        <v>0</v>
      </c>
      <c r="L7" s="31">
        <f t="shared" ref="L7:L45" si="3">(J7+G7)</f>
        <v>0</v>
      </c>
      <c r="M7" s="5">
        <f t="shared" ref="M7:M45" si="4">(L7*E7)</f>
        <v>0</v>
      </c>
    </row>
    <row r="8" spans="2:13" x14ac:dyDescent="0.35">
      <c r="B8" t="s">
        <v>104</v>
      </c>
      <c r="C8" s="39">
        <v>2</v>
      </c>
      <c r="D8" s="44" t="s">
        <v>95</v>
      </c>
      <c r="E8" s="40">
        <v>238</v>
      </c>
      <c r="F8" s="40" t="s">
        <v>79</v>
      </c>
      <c r="G8" s="47">
        <v>44000</v>
      </c>
      <c r="H8" s="47">
        <f t="shared" si="0"/>
        <v>10472000</v>
      </c>
      <c r="I8" s="48">
        <v>0.05</v>
      </c>
      <c r="J8" s="5">
        <f t="shared" si="1"/>
        <v>2200</v>
      </c>
      <c r="K8" s="5">
        <f t="shared" si="2"/>
        <v>523600</v>
      </c>
      <c r="L8" s="31">
        <f t="shared" si="3"/>
        <v>46200</v>
      </c>
      <c r="M8" s="5">
        <f t="shared" si="4"/>
        <v>10995600</v>
      </c>
    </row>
    <row r="9" spans="2:13" x14ac:dyDescent="0.35">
      <c r="B9" t="s">
        <v>13</v>
      </c>
      <c r="C9" s="39">
        <v>3</v>
      </c>
      <c r="D9" s="44" t="s">
        <v>55</v>
      </c>
      <c r="E9" s="40">
        <v>1</v>
      </c>
      <c r="F9" s="40" t="s">
        <v>10</v>
      </c>
      <c r="G9" s="47">
        <v>13000</v>
      </c>
      <c r="H9" s="47">
        <f t="shared" si="0"/>
        <v>13000</v>
      </c>
      <c r="I9" s="48">
        <v>0.04</v>
      </c>
      <c r="J9" s="5">
        <f t="shared" si="1"/>
        <v>520</v>
      </c>
      <c r="K9" s="5">
        <f t="shared" si="2"/>
        <v>520</v>
      </c>
      <c r="L9" s="31">
        <f t="shared" si="3"/>
        <v>13520</v>
      </c>
      <c r="M9" s="5">
        <f t="shared" si="4"/>
        <v>13520</v>
      </c>
    </row>
    <row r="10" spans="2:13" x14ac:dyDescent="0.35">
      <c r="B10" t="s">
        <v>13</v>
      </c>
      <c r="C10" s="39">
        <v>4</v>
      </c>
      <c r="D10" s="44" t="s">
        <v>82</v>
      </c>
      <c r="E10" s="40">
        <v>1</v>
      </c>
      <c r="F10" s="40" t="s">
        <v>10</v>
      </c>
      <c r="G10" s="47">
        <v>30000</v>
      </c>
      <c r="H10" s="47">
        <f t="shared" si="0"/>
        <v>30000</v>
      </c>
      <c r="I10" s="48">
        <v>0.04</v>
      </c>
      <c r="J10" s="5">
        <f t="shared" si="1"/>
        <v>1200</v>
      </c>
      <c r="K10" s="5">
        <f t="shared" si="2"/>
        <v>1200</v>
      </c>
      <c r="L10" s="31">
        <f t="shared" si="3"/>
        <v>31200</v>
      </c>
      <c r="M10" s="5">
        <f t="shared" si="4"/>
        <v>31200</v>
      </c>
    </row>
    <row r="11" spans="2:13" x14ac:dyDescent="0.35">
      <c r="B11" t="s">
        <v>103</v>
      </c>
      <c r="C11" s="39">
        <v>5</v>
      </c>
      <c r="D11" s="44" t="s">
        <v>99</v>
      </c>
      <c r="E11" s="45">
        <v>1894000</v>
      </c>
      <c r="F11" s="40"/>
      <c r="G11" s="47">
        <v>1894000</v>
      </c>
      <c r="H11" s="47">
        <v>1894000</v>
      </c>
      <c r="I11" s="48">
        <v>0.05</v>
      </c>
      <c r="J11" s="5">
        <f t="shared" si="1"/>
        <v>94700</v>
      </c>
      <c r="K11" s="5">
        <v>94700</v>
      </c>
      <c r="L11" s="31">
        <f t="shared" si="3"/>
        <v>1988700</v>
      </c>
      <c r="M11" s="31">
        <v>1988700</v>
      </c>
    </row>
    <row r="12" spans="2:13" x14ac:dyDescent="0.35">
      <c r="B12" t="s">
        <v>13</v>
      </c>
      <c r="C12" s="39">
        <v>6</v>
      </c>
      <c r="D12" s="44" t="s">
        <v>83</v>
      </c>
      <c r="E12" s="40">
        <v>1</v>
      </c>
      <c r="F12" s="40" t="s">
        <v>10</v>
      </c>
      <c r="G12" s="44">
        <v>20000</v>
      </c>
      <c r="H12" s="47">
        <f t="shared" si="0"/>
        <v>20000</v>
      </c>
      <c r="I12" s="48">
        <v>0.05</v>
      </c>
      <c r="J12" s="5">
        <f t="shared" si="1"/>
        <v>1000</v>
      </c>
      <c r="K12" s="5">
        <f t="shared" si="2"/>
        <v>1000</v>
      </c>
      <c r="L12" s="31">
        <f t="shared" si="3"/>
        <v>21000</v>
      </c>
      <c r="M12" s="5">
        <f t="shared" si="4"/>
        <v>21000</v>
      </c>
    </row>
    <row r="13" spans="2:13" x14ac:dyDescent="0.35">
      <c r="B13" t="s">
        <v>13</v>
      </c>
      <c r="C13" s="40">
        <v>7</v>
      </c>
      <c r="D13" s="44" t="s">
        <v>84</v>
      </c>
      <c r="E13" s="40">
        <v>1.5</v>
      </c>
      <c r="F13" s="40" t="s">
        <v>10</v>
      </c>
      <c r="G13" s="44">
        <v>20000</v>
      </c>
      <c r="H13" s="47">
        <f t="shared" si="0"/>
        <v>30000</v>
      </c>
      <c r="I13" s="48">
        <v>0.05</v>
      </c>
      <c r="J13" s="5">
        <f t="shared" si="1"/>
        <v>1000</v>
      </c>
      <c r="K13" s="5">
        <f t="shared" si="2"/>
        <v>1500</v>
      </c>
      <c r="L13" s="31">
        <f t="shared" si="3"/>
        <v>21000</v>
      </c>
      <c r="M13" s="5">
        <f t="shared" si="4"/>
        <v>31500</v>
      </c>
    </row>
    <row r="14" spans="2:13" x14ac:dyDescent="0.35">
      <c r="B14" t="s">
        <v>103</v>
      </c>
      <c r="C14" s="40">
        <v>8</v>
      </c>
      <c r="D14" s="44" t="s">
        <v>96</v>
      </c>
      <c r="E14" s="40">
        <v>110</v>
      </c>
      <c r="F14" s="40" t="s">
        <v>85</v>
      </c>
      <c r="G14" s="44">
        <v>7500</v>
      </c>
      <c r="H14" s="47">
        <f t="shared" si="0"/>
        <v>825000</v>
      </c>
      <c r="I14" s="48">
        <v>0.03</v>
      </c>
      <c r="J14" s="5">
        <f t="shared" si="1"/>
        <v>225</v>
      </c>
      <c r="K14" s="5">
        <f t="shared" si="2"/>
        <v>24750</v>
      </c>
      <c r="L14" s="31">
        <f t="shared" si="3"/>
        <v>7725</v>
      </c>
      <c r="M14" s="5">
        <f t="shared" si="4"/>
        <v>849750</v>
      </c>
    </row>
    <row r="15" spans="2:13" x14ac:dyDescent="0.35">
      <c r="B15" t="s">
        <v>103</v>
      </c>
      <c r="C15" s="40">
        <v>9</v>
      </c>
      <c r="D15" s="44" t="s">
        <v>86</v>
      </c>
      <c r="E15" s="40">
        <v>1</v>
      </c>
      <c r="F15" s="40" t="s">
        <v>12</v>
      </c>
      <c r="G15" s="47">
        <v>30000</v>
      </c>
      <c r="H15" s="47">
        <f t="shared" si="0"/>
        <v>30000</v>
      </c>
      <c r="I15" s="48">
        <v>0.03</v>
      </c>
      <c r="J15" s="5">
        <f t="shared" si="1"/>
        <v>900</v>
      </c>
      <c r="K15" s="5">
        <f t="shared" si="2"/>
        <v>900</v>
      </c>
      <c r="L15" s="31">
        <f t="shared" si="3"/>
        <v>30900</v>
      </c>
      <c r="M15" s="5">
        <f t="shared" si="4"/>
        <v>30900</v>
      </c>
    </row>
    <row r="16" spans="2:13" x14ac:dyDescent="0.35">
      <c r="B16" t="s">
        <v>103</v>
      </c>
      <c r="C16" s="42">
        <v>10</v>
      </c>
      <c r="D16" s="44" t="s">
        <v>97</v>
      </c>
      <c r="E16" s="40">
        <v>2</v>
      </c>
      <c r="F16" s="40" t="s">
        <v>27</v>
      </c>
      <c r="G16" s="47">
        <v>12000</v>
      </c>
      <c r="H16" s="47">
        <f t="shared" si="0"/>
        <v>24000</v>
      </c>
      <c r="I16" s="48">
        <v>0.03</v>
      </c>
      <c r="J16" s="5">
        <f t="shared" si="1"/>
        <v>360</v>
      </c>
      <c r="K16" s="5">
        <f t="shared" si="2"/>
        <v>720</v>
      </c>
      <c r="L16" s="31">
        <f t="shared" si="3"/>
        <v>12360</v>
      </c>
      <c r="M16" s="5">
        <f t="shared" si="4"/>
        <v>24720</v>
      </c>
    </row>
    <row r="17" spans="2:13" x14ac:dyDescent="0.35">
      <c r="B17" t="s">
        <v>13</v>
      </c>
      <c r="C17" s="42">
        <v>11</v>
      </c>
      <c r="D17" s="44" t="s">
        <v>16</v>
      </c>
      <c r="E17" s="40">
        <v>6</v>
      </c>
      <c r="F17" s="40" t="s">
        <v>10</v>
      </c>
      <c r="G17" s="47">
        <v>45000</v>
      </c>
      <c r="H17" s="47">
        <f t="shared" si="0"/>
        <v>270000</v>
      </c>
      <c r="I17" s="48">
        <v>0.05</v>
      </c>
      <c r="J17" s="5">
        <f t="shared" si="1"/>
        <v>2250</v>
      </c>
      <c r="K17" s="5">
        <f t="shared" si="2"/>
        <v>13500</v>
      </c>
      <c r="L17" s="31">
        <f t="shared" si="3"/>
        <v>47250</v>
      </c>
      <c r="M17" s="5">
        <f t="shared" si="4"/>
        <v>283500</v>
      </c>
    </row>
    <row r="18" spans="2:13" x14ac:dyDescent="0.35">
      <c r="B18" t="s">
        <v>13</v>
      </c>
      <c r="C18" s="42">
        <v>12</v>
      </c>
      <c r="D18" s="44" t="s">
        <v>17</v>
      </c>
      <c r="E18" s="40">
        <v>2</v>
      </c>
      <c r="F18" s="40" t="s">
        <v>10</v>
      </c>
      <c r="G18" s="47">
        <v>45000</v>
      </c>
      <c r="H18" s="47">
        <f t="shared" si="0"/>
        <v>90000</v>
      </c>
      <c r="I18" s="48">
        <v>0.05</v>
      </c>
      <c r="J18" s="5">
        <f t="shared" si="1"/>
        <v>2250</v>
      </c>
      <c r="K18" s="5">
        <f t="shared" si="2"/>
        <v>4500</v>
      </c>
      <c r="L18" s="31">
        <f t="shared" si="3"/>
        <v>47250</v>
      </c>
      <c r="M18" s="5">
        <f t="shared" si="4"/>
        <v>94500</v>
      </c>
    </row>
    <row r="19" spans="2:13" x14ac:dyDescent="0.35">
      <c r="B19" t="s">
        <v>13</v>
      </c>
      <c r="C19" s="42">
        <v>13</v>
      </c>
      <c r="D19" s="44" t="s">
        <v>62</v>
      </c>
      <c r="E19" s="40">
        <v>1</v>
      </c>
      <c r="F19" s="40" t="s">
        <v>10</v>
      </c>
      <c r="G19" s="44">
        <v>70000</v>
      </c>
      <c r="H19" s="47">
        <f t="shared" si="0"/>
        <v>70000</v>
      </c>
      <c r="I19" s="48">
        <v>0.05</v>
      </c>
      <c r="J19" s="5">
        <f t="shared" si="1"/>
        <v>3500</v>
      </c>
      <c r="K19" s="5">
        <f t="shared" si="2"/>
        <v>3500</v>
      </c>
      <c r="L19" s="31">
        <f t="shared" si="3"/>
        <v>73500</v>
      </c>
      <c r="M19" s="5">
        <f t="shared" si="4"/>
        <v>73500</v>
      </c>
    </row>
    <row r="20" spans="2:13" x14ac:dyDescent="0.35">
      <c r="B20" t="s">
        <v>13</v>
      </c>
      <c r="C20" s="42">
        <v>14</v>
      </c>
      <c r="D20" s="44" t="s">
        <v>20</v>
      </c>
      <c r="E20" s="40">
        <v>6</v>
      </c>
      <c r="F20" s="40" t="s">
        <v>10</v>
      </c>
      <c r="G20" s="47">
        <v>40000</v>
      </c>
      <c r="H20" s="47">
        <f t="shared" si="0"/>
        <v>240000</v>
      </c>
      <c r="I20" s="48">
        <v>0.05</v>
      </c>
      <c r="J20" s="5">
        <f t="shared" si="1"/>
        <v>2000</v>
      </c>
      <c r="K20" s="5">
        <f t="shared" si="2"/>
        <v>12000</v>
      </c>
      <c r="L20" s="31">
        <f t="shared" si="3"/>
        <v>42000</v>
      </c>
      <c r="M20" s="5">
        <f t="shared" si="4"/>
        <v>252000</v>
      </c>
    </row>
    <row r="21" spans="2:13" x14ac:dyDescent="0.35">
      <c r="B21" t="s">
        <v>13</v>
      </c>
      <c r="C21" s="42">
        <v>15</v>
      </c>
      <c r="D21" s="44" t="s">
        <v>21</v>
      </c>
      <c r="E21" s="40">
        <v>1</v>
      </c>
      <c r="F21" s="40" t="s">
        <v>10</v>
      </c>
      <c r="G21" s="44">
        <v>38000</v>
      </c>
      <c r="H21" s="47">
        <f t="shared" si="0"/>
        <v>38000</v>
      </c>
      <c r="I21" s="48">
        <v>0.05</v>
      </c>
      <c r="J21" s="5">
        <f t="shared" si="1"/>
        <v>1900</v>
      </c>
      <c r="K21" s="5">
        <f t="shared" si="2"/>
        <v>1900</v>
      </c>
      <c r="L21" s="31">
        <f t="shared" si="3"/>
        <v>39900</v>
      </c>
      <c r="M21" s="5">
        <f t="shared" si="4"/>
        <v>39900</v>
      </c>
    </row>
    <row r="22" spans="2:13" x14ac:dyDescent="0.35">
      <c r="B22" t="s">
        <v>13</v>
      </c>
      <c r="C22" s="42">
        <v>16</v>
      </c>
      <c r="D22" s="44" t="s">
        <v>87</v>
      </c>
      <c r="E22" s="40">
        <v>1</v>
      </c>
      <c r="F22" s="40" t="s">
        <v>10</v>
      </c>
      <c r="G22" s="44">
        <v>25000</v>
      </c>
      <c r="H22" s="47">
        <f t="shared" si="0"/>
        <v>25000</v>
      </c>
      <c r="I22" s="48">
        <v>0.05</v>
      </c>
      <c r="J22" s="5">
        <f t="shared" si="1"/>
        <v>1250</v>
      </c>
      <c r="K22" s="5">
        <f t="shared" si="2"/>
        <v>1250</v>
      </c>
      <c r="L22" s="31">
        <f t="shared" si="3"/>
        <v>26250</v>
      </c>
      <c r="M22" s="5">
        <f t="shared" si="4"/>
        <v>26250</v>
      </c>
    </row>
    <row r="23" spans="2:13" x14ac:dyDescent="0.35">
      <c r="B23" t="s">
        <v>13</v>
      </c>
      <c r="C23" s="43">
        <v>17</v>
      </c>
      <c r="D23" s="44" t="s">
        <v>22</v>
      </c>
      <c r="E23" s="40">
        <v>3</v>
      </c>
      <c r="F23" s="40" t="s">
        <v>10</v>
      </c>
      <c r="G23" s="47">
        <v>55000</v>
      </c>
      <c r="H23" s="47">
        <f t="shared" si="0"/>
        <v>165000</v>
      </c>
      <c r="I23" s="48">
        <v>0.05</v>
      </c>
      <c r="J23" s="5">
        <f t="shared" si="1"/>
        <v>2750</v>
      </c>
      <c r="K23" s="5">
        <f t="shared" si="2"/>
        <v>8250</v>
      </c>
      <c r="L23" s="31">
        <f t="shared" si="3"/>
        <v>57750</v>
      </c>
      <c r="M23" s="5">
        <f t="shared" si="4"/>
        <v>173250</v>
      </c>
    </row>
    <row r="24" spans="2:13" x14ac:dyDescent="0.35">
      <c r="B24" t="s">
        <v>103</v>
      </c>
      <c r="C24" s="43">
        <v>18</v>
      </c>
      <c r="D24" s="44" t="s">
        <v>15</v>
      </c>
      <c r="E24" s="40">
        <v>65</v>
      </c>
      <c r="F24" s="40" t="s">
        <v>10</v>
      </c>
      <c r="G24" s="47">
        <v>18000</v>
      </c>
      <c r="H24" s="47">
        <f t="shared" si="0"/>
        <v>1170000</v>
      </c>
      <c r="I24" s="48">
        <v>0.03</v>
      </c>
      <c r="J24" s="5">
        <f t="shared" si="1"/>
        <v>540</v>
      </c>
      <c r="K24" s="5">
        <f t="shared" si="2"/>
        <v>35100</v>
      </c>
      <c r="L24" s="31">
        <f t="shared" si="3"/>
        <v>18540</v>
      </c>
      <c r="M24" s="5">
        <f t="shared" si="4"/>
        <v>1205100</v>
      </c>
    </row>
    <row r="25" spans="2:13" x14ac:dyDescent="0.35">
      <c r="B25" s="6"/>
      <c r="C25" s="53"/>
      <c r="D25" s="52" t="s">
        <v>88</v>
      </c>
      <c r="E25" s="53"/>
      <c r="F25" s="53"/>
      <c r="G25" s="54"/>
      <c r="H25" s="47">
        <f t="shared" si="0"/>
        <v>0</v>
      </c>
      <c r="I25" s="15"/>
      <c r="J25" s="5">
        <f t="shared" si="1"/>
        <v>0</v>
      </c>
      <c r="K25" s="5">
        <f t="shared" si="2"/>
        <v>0</v>
      </c>
      <c r="L25" s="31">
        <f t="shared" si="3"/>
        <v>0</v>
      </c>
      <c r="M25" s="5">
        <f t="shared" si="4"/>
        <v>0</v>
      </c>
    </row>
    <row r="26" spans="2:13" x14ac:dyDescent="0.35">
      <c r="B26" t="s">
        <v>30</v>
      </c>
      <c r="C26" s="40">
        <v>19</v>
      </c>
      <c r="D26" s="44" t="s">
        <v>31</v>
      </c>
      <c r="E26" s="41">
        <v>300</v>
      </c>
      <c r="F26" s="41" t="s">
        <v>32</v>
      </c>
      <c r="G26" s="44">
        <v>2000</v>
      </c>
      <c r="H26" s="47">
        <f t="shared" si="0"/>
        <v>600000</v>
      </c>
      <c r="I26" s="48"/>
      <c r="J26" s="5">
        <v>500</v>
      </c>
      <c r="K26" s="5">
        <f t="shared" si="2"/>
        <v>150000</v>
      </c>
      <c r="L26" s="31">
        <f t="shared" si="3"/>
        <v>2500</v>
      </c>
      <c r="M26" s="5">
        <f t="shared" si="4"/>
        <v>750000</v>
      </c>
    </row>
    <row r="27" spans="2:13" x14ac:dyDescent="0.35">
      <c r="B27" t="s">
        <v>13</v>
      </c>
      <c r="C27" s="40">
        <v>20</v>
      </c>
      <c r="D27" s="44" t="s">
        <v>16</v>
      </c>
      <c r="E27" s="40">
        <v>3</v>
      </c>
      <c r="F27" s="40" t="s">
        <v>10</v>
      </c>
      <c r="G27" s="47">
        <v>45000</v>
      </c>
      <c r="H27" s="47">
        <f t="shared" si="0"/>
        <v>135000</v>
      </c>
      <c r="I27" s="48">
        <v>0.05</v>
      </c>
      <c r="J27" s="5">
        <f t="shared" si="1"/>
        <v>2250</v>
      </c>
      <c r="K27" s="5">
        <f t="shared" si="2"/>
        <v>6750</v>
      </c>
      <c r="L27" s="31">
        <f t="shared" si="3"/>
        <v>47250</v>
      </c>
      <c r="M27" s="5">
        <f t="shared" si="4"/>
        <v>141750</v>
      </c>
    </row>
    <row r="28" spans="2:13" x14ac:dyDescent="0.35">
      <c r="B28" t="s">
        <v>13</v>
      </c>
      <c r="C28" s="40">
        <v>21</v>
      </c>
      <c r="D28" s="44" t="s">
        <v>17</v>
      </c>
      <c r="E28" s="40">
        <v>1.5</v>
      </c>
      <c r="F28" s="40" t="s">
        <v>10</v>
      </c>
      <c r="G28" s="47">
        <v>45000</v>
      </c>
      <c r="H28" s="47">
        <f t="shared" si="0"/>
        <v>67500</v>
      </c>
      <c r="I28" s="48">
        <v>0.05</v>
      </c>
      <c r="J28" s="5">
        <f t="shared" si="1"/>
        <v>2250</v>
      </c>
      <c r="K28" s="5">
        <f t="shared" si="2"/>
        <v>3375</v>
      </c>
      <c r="L28" s="31">
        <f t="shared" si="3"/>
        <v>47250</v>
      </c>
      <c r="M28" s="5">
        <f t="shared" si="4"/>
        <v>70875</v>
      </c>
    </row>
    <row r="29" spans="2:13" x14ac:dyDescent="0.35">
      <c r="B29" t="s">
        <v>13</v>
      </c>
      <c r="C29" s="40">
        <v>22</v>
      </c>
      <c r="D29" s="44" t="s">
        <v>20</v>
      </c>
      <c r="E29" s="40">
        <v>3</v>
      </c>
      <c r="F29" s="40" t="s">
        <v>10</v>
      </c>
      <c r="G29" s="47">
        <v>40000</v>
      </c>
      <c r="H29" s="47">
        <f t="shared" si="0"/>
        <v>120000</v>
      </c>
      <c r="I29" s="48">
        <v>0.05</v>
      </c>
      <c r="J29" s="5">
        <f t="shared" si="1"/>
        <v>2000</v>
      </c>
      <c r="K29" s="5">
        <f t="shared" si="2"/>
        <v>6000</v>
      </c>
      <c r="L29" s="31">
        <f t="shared" si="3"/>
        <v>42000</v>
      </c>
      <c r="M29" s="5">
        <f t="shared" si="4"/>
        <v>126000</v>
      </c>
    </row>
    <row r="30" spans="2:13" x14ac:dyDescent="0.35">
      <c r="B30" t="s">
        <v>13</v>
      </c>
      <c r="C30" s="40">
        <v>23</v>
      </c>
      <c r="D30" s="44" t="s">
        <v>62</v>
      </c>
      <c r="E30" s="40">
        <v>0.5</v>
      </c>
      <c r="F30" s="40" t="s">
        <v>10</v>
      </c>
      <c r="G30" s="47">
        <v>70000</v>
      </c>
      <c r="H30" s="47">
        <f t="shared" si="0"/>
        <v>35000</v>
      </c>
      <c r="I30" s="48">
        <v>0.05</v>
      </c>
      <c r="J30" s="5">
        <f t="shared" si="1"/>
        <v>3500</v>
      </c>
      <c r="K30" s="5">
        <f t="shared" si="2"/>
        <v>1750</v>
      </c>
      <c r="L30" s="31">
        <f t="shared" si="3"/>
        <v>73500</v>
      </c>
      <c r="M30" s="5">
        <f t="shared" si="4"/>
        <v>36750</v>
      </c>
    </row>
    <row r="31" spans="2:13" x14ac:dyDescent="0.35">
      <c r="B31" t="s">
        <v>13</v>
      </c>
      <c r="C31" s="40">
        <v>24</v>
      </c>
      <c r="D31" s="44" t="s">
        <v>89</v>
      </c>
      <c r="E31" s="40">
        <v>0.5</v>
      </c>
      <c r="F31" s="40" t="s">
        <v>10</v>
      </c>
      <c r="G31" s="47">
        <v>20000</v>
      </c>
      <c r="H31" s="47">
        <f t="shared" si="0"/>
        <v>10000</v>
      </c>
      <c r="I31" s="48">
        <v>0.05</v>
      </c>
      <c r="J31" s="5">
        <f t="shared" si="1"/>
        <v>1000</v>
      </c>
      <c r="K31" s="5">
        <f t="shared" si="2"/>
        <v>500</v>
      </c>
      <c r="L31" s="31">
        <f t="shared" si="3"/>
        <v>21000</v>
      </c>
      <c r="M31" s="5">
        <f t="shared" si="4"/>
        <v>10500</v>
      </c>
    </row>
    <row r="32" spans="2:13" x14ac:dyDescent="0.35">
      <c r="B32" t="s">
        <v>13</v>
      </c>
      <c r="C32" s="40">
        <v>25</v>
      </c>
      <c r="D32" s="44" t="s">
        <v>82</v>
      </c>
      <c r="E32" s="40">
        <v>0.5</v>
      </c>
      <c r="F32" s="40" t="s">
        <v>10</v>
      </c>
      <c r="G32" s="47">
        <v>30000</v>
      </c>
      <c r="H32" s="47">
        <f t="shared" si="0"/>
        <v>15000</v>
      </c>
      <c r="I32" s="48">
        <v>0.04</v>
      </c>
      <c r="J32" s="5">
        <f t="shared" si="1"/>
        <v>1200</v>
      </c>
      <c r="K32" s="5">
        <f t="shared" si="2"/>
        <v>600</v>
      </c>
      <c r="L32" s="31">
        <f t="shared" si="3"/>
        <v>31200</v>
      </c>
      <c r="M32" s="5">
        <f t="shared" si="4"/>
        <v>15600</v>
      </c>
    </row>
    <row r="33" spans="2:13" x14ac:dyDescent="0.35">
      <c r="B33" t="s">
        <v>103</v>
      </c>
      <c r="C33" s="40">
        <v>26</v>
      </c>
      <c r="D33" s="44" t="s">
        <v>98</v>
      </c>
      <c r="E33" s="40">
        <v>25</v>
      </c>
      <c r="F33" s="40" t="s">
        <v>65</v>
      </c>
      <c r="G33" s="47">
        <v>27000</v>
      </c>
      <c r="H33" s="47">
        <f t="shared" si="0"/>
        <v>675000</v>
      </c>
      <c r="I33" s="48">
        <v>0.03</v>
      </c>
      <c r="J33" s="5">
        <f t="shared" si="1"/>
        <v>810</v>
      </c>
      <c r="K33" s="5">
        <f t="shared" si="2"/>
        <v>20250</v>
      </c>
      <c r="L33" s="31">
        <f t="shared" si="3"/>
        <v>27810</v>
      </c>
      <c r="M33" s="5">
        <f t="shared" si="4"/>
        <v>695250</v>
      </c>
    </row>
    <row r="34" spans="2:13" x14ac:dyDescent="0.35">
      <c r="B34" t="s">
        <v>103</v>
      </c>
      <c r="C34" s="40">
        <v>27</v>
      </c>
      <c r="D34" s="44" t="s">
        <v>66</v>
      </c>
      <c r="E34" s="40">
        <v>1</v>
      </c>
      <c r="F34" s="40" t="s">
        <v>90</v>
      </c>
      <c r="G34" s="31">
        <v>70000</v>
      </c>
      <c r="H34" s="47">
        <f t="shared" si="0"/>
        <v>70000</v>
      </c>
      <c r="I34" s="48">
        <v>0.03</v>
      </c>
      <c r="J34" s="5">
        <f t="shared" si="1"/>
        <v>2100</v>
      </c>
      <c r="K34" s="5">
        <f t="shared" si="2"/>
        <v>2100</v>
      </c>
      <c r="L34" s="31">
        <f t="shared" si="3"/>
        <v>72100</v>
      </c>
      <c r="M34" s="5">
        <f t="shared" si="4"/>
        <v>72100</v>
      </c>
    </row>
    <row r="35" spans="2:13" x14ac:dyDescent="0.35">
      <c r="B35" t="s">
        <v>103</v>
      </c>
      <c r="C35" s="40">
        <v>28</v>
      </c>
      <c r="D35" s="44" t="s">
        <v>26</v>
      </c>
      <c r="E35" s="40">
        <v>1</v>
      </c>
      <c r="F35" s="40" t="s">
        <v>27</v>
      </c>
      <c r="G35" s="31">
        <v>6000</v>
      </c>
      <c r="H35" s="47">
        <f t="shared" si="0"/>
        <v>6000</v>
      </c>
      <c r="I35" s="48">
        <v>0.03</v>
      </c>
      <c r="J35" s="5">
        <f t="shared" si="1"/>
        <v>180</v>
      </c>
      <c r="K35" s="5">
        <f t="shared" si="2"/>
        <v>180</v>
      </c>
      <c r="L35" s="31">
        <f t="shared" si="3"/>
        <v>6180</v>
      </c>
      <c r="M35" s="5">
        <f t="shared" si="4"/>
        <v>6180</v>
      </c>
    </row>
    <row r="36" spans="2:13" x14ac:dyDescent="0.35">
      <c r="B36" t="s">
        <v>103</v>
      </c>
      <c r="C36" s="40">
        <v>29</v>
      </c>
      <c r="D36" s="44" t="s">
        <v>97</v>
      </c>
      <c r="E36" s="40">
        <v>1</v>
      </c>
      <c r="F36" s="40" t="s">
        <v>27</v>
      </c>
      <c r="G36" s="47">
        <v>12000</v>
      </c>
      <c r="H36" s="47">
        <f t="shared" si="0"/>
        <v>12000</v>
      </c>
      <c r="I36" s="48">
        <v>0.03</v>
      </c>
      <c r="J36" s="5">
        <f t="shared" si="1"/>
        <v>360</v>
      </c>
      <c r="K36" s="5">
        <f t="shared" si="2"/>
        <v>360</v>
      </c>
      <c r="L36" s="31">
        <f t="shared" si="3"/>
        <v>12360</v>
      </c>
      <c r="M36" s="5">
        <f t="shared" si="4"/>
        <v>12360</v>
      </c>
    </row>
    <row r="37" spans="2:13" x14ac:dyDescent="0.35">
      <c r="B37" s="6"/>
      <c r="C37" s="53"/>
      <c r="D37" s="52" t="s">
        <v>91</v>
      </c>
      <c r="E37" s="53"/>
      <c r="F37" s="53"/>
      <c r="G37" s="15"/>
      <c r="H37" s="47">
        <f t="shared" si="0"/>
        <v>0</v>
      </c>
      <c r="I37" s="15"/>
      <c r="J37" s="5">
        <f t="shared" si="1"/>
        <v>0</v>
      </c>
      <c r="K37" s="5">
        <f t="shared" si="2"/>
        <v>0</v>
      </c>
      <c r="L37" s="31">
        <f t="shared" si="3"/>
        <v>0</v>
      </c>
      <c r="M37" s="5">
        <f t="shared" si="4"/>
        <v>0</v>
      </c>
    </row>
    <row r="38" spans="2:13" x14ac:dyDescent="0.35">
      <c r="B38" t="s">
        <v>13</v>
      </c>
      <c r="C38" s="40">
        <v>31</v>
      </c>
      <c r="D38" s="44" t="s">
        <v>92</v>
      </c>
      <c r="E38" s="40">
        <v>140</v>
      </c>
      <c r="F38" s="40" t="s">
        <v>10</v>
      </c>
      <c r="G38" s="31">
        <v>10000</v>
      </c>
      <c r="H38" s="47">
        <f t="shared" si="0"/>
        <v>1400000</v>
      </c>
      <c r="I38" s="48">
        <v>0.05</v>
      </c>
      <c r="J38" s="5">
        <f t="shared" si="1"/>
        <v>500</v>
      </c>
      <c r="K38" s="5">
        <f t="shared" si="2"/>
        <v>70000</v>
      </c>
      <c r="L38" s="31">
        <f t="shared" si="3"/>
        <v>10500</v>
      </c>
      <c r="M38" s="5">
        <f t="shared" si="4"/>
        <v>1470000</v>
      </c>
    </row>
    <row r="39" spans="2:13" x14ac:dyDescent="0.35">
      <c r="B39" t="s">
        <v>13</v>
      </c>
      <c r="C39" s="40">
        <v>32</v>
      </c>
      <c r="D39" s="44" t="s">
        <v>17</v>
      </c>
      <c r="E39" s="40">
        <v>1</v>
      </c>
      <c r="F39" s="40" t="s">
        <v>10</v>
      </c>
      <c r="G39" s="31">
        <v>45000</v>
      </c>
      <c r="H39" s="47">
        <f t="shared" si="0"/>
        <v>45000</v>
      </c>
      <c r="I39" s="48">
        <v>0.05</v>
      </c>
      <c r="J39" s="5">
        <f t="shared" si="1"/>
        <v>2250</v>
      </c>
      <c r="K39" s="5">
        <f t="shared" si="2"/>
        <v>2250</v>
      </c>
      <c r="L39" s="31">
        <f t="shared" si="3"/>
        <v>47250</v>
      </c>
      <c r="M39" s="5">
        <f t="shared" si="4"/>
        <v>47250</v>
      </c>
    </row>
    <row r="40" spans="2:13" x14ac:dyDescent="0.35">
      <c r="B40" t="s">
        <v>13</v>
      </c>
      <c r="C40" s="40">
        <v>33</v>
      </c>
      <c r="D40" s="44" t="s">
        <v>16</v>
      </c>
      <c r="E40" s="40">
        <v>1.5</v>
      </c>
      <c r="F40" s="40" t="s">
        <v>10</v>
      </c>
      <c r="G40" s="31">
        <v>45000</v>
      </c>
      <c r="H40" s="47">
        <f t="shared" si="0"/>
        <v>67500</v>
      </c>
      <c r="I40" s="48">
        <v>0.05</v>
      </c>
      <c r="J40" s="5">
        <f t="shared" si="1"/>
        <v>2250</v>
      </c>
      <c r="K40" s="5">
        <f t="shared" si="2"/>
        <v>3375</v>
      </c>
      <c r="L40" s="31">
        <f t="shared" si="3"/>
        <v>47250</v>
      </c>
      <c r="M40" s="5">
        <f t="shared" si="4"/>
        <v>70875</v>
      </c>
    </row>
    <row r="41" spans="2:13" x14ac:dyDescent="0.35">
      <c r="B41" t="s">
        <v>13</v>
      </c>
      <c r="C41" s="40">
        <v>34</v>
      </c>
      <c r="D41" s="44" t="s">
        <v>74</v>
      </c>
      <c r="E41" s="40">
        <v>1.5</v>
      </c>
      <c r="F41" s="40" t="s">
        <v>10</v>
      </c>
      <c r="G41" s="31">
        <v>40000</v>
      </c>
      <c r="H41" s="47">
        <f t="shared" si="0"/>
        <v>60000</v>
      </c>
      <c r="I41" s="48">
        <v>0.05</v>
      </c>
      <c r="J41" s="5">
        <f t="shared" si="1"/>
        <v>2000</v>
      </c>
      <c r="K41" s="5">
        <f t="shared" si="2"/>
        <v>3000</v>
      </c>
      <c r="L41" s="31">
        <f t="shared" si="3"/>
        <v>42000</v>
      </c>
      <c r="M41" s="5">
        <f t="shared" si="4"/>
        <v>63000</v>
      </c>
    </row>
    <row r="42" spans="2:13" x14ac:dyDescent="0.35">
      <c r="B42" t="s">
        <v>103</v>
      </c>
      <c r="C42" s="40">
        <v>35</v>
      </c>
      <c r="D42" s="44" t="s">
        <v>93</v>
      </c>
      <c r="E42" s="40">
        <v>1</v>
      </c>
      <c r="F42" s="40" t="s">
        <v>90</v>
      </c>
      <c r="G42" s="49">
        <v>70000</v>
      </c>
      <c r="H42" s="47">
        <f t="shared" si="0"/>
        <v>70000</v>
      </c>
      <c r="I42" s="48">
        <v>0.03</v>
      </c>
      <c r="J42" s="5">
        <f t="shared" si="1"/>
        <v>2100</v>
      </c>
      <c r="K42" s="5">
        <f t="shared" si="2"/>
        <v>2100</v>
      </c>
      <c r="L42" s="31">
        <f t="shared" si="3"/>
        <v>72100</v>
      </c>
      <c r="M42" s="5">
        <f t="shared" si="4"/>
        <v>72100</v>
      </c>
    </row>
    <row r="43" spans="2:13" x14ac:dyDescent="0.35">
      <c r="B43" t="s">
        <v>103</v>
      </c>
      <c r="C43" s="40">
        <v>36</v>
      </c>
      <c r="D43" s="44" t="s">
        <v>26</v>
      </c>
      <c r="E43" s="40">
        <v>1</v>
      </c>
      <c r="F43" s="40" t="s">
        <v>27</v>
      </c>
      <c r="G43" s="31">
        <v>6000</v>
      </c>
      <c r="H43" s="47">
        <f t="shared" si="0"/>
        <v>6000</v>
      </c>
      <c r="I43" s="48">
        <v>0.03</v>
      </c>
      <c r="J43" s="5">
        <f t="shared" si="1"/>
        <v>180</v>
      </c>
      <c r="K43" s="5">
        <f t="shared" si="2"/>
        <v>180</v>
      </c>
      <c r="L43" s="31">
        <f t="shared" si="3"/>
        <v>6180</v>
      </c>
      <c r="M43" s="5">
        <f t="shared" si="4"/>
        <v>6180</v>
      </c>
    </row>
    <row r="44" spans="2:13" x14ac:dyDescent="0.35">
      <c r="B44" s="6"/>
      <c r="C44" s="53"/>
      <c r="D44" s="52" t="s">
        <v>94</v>
      </c>
      <c r="E44" s="53"/>
      <c r="F44" s="53"/>
      <c r="G44" s="15"/>
      <c r="H44" s="47">
        <f t="shared" si="0"/>
        <v>0</v>
      </c>
      <c r="I44" s="15"/>
      <c r="J44" s="5">
        <f t="shared" si="1"/>
        <v>0</v>
      </c>
      <c r="K44" s="5">
        <f t="shared" si="2"/>
        <v>0</v>
      </c>
      <c r="L44" s="31">
        <f t="shared" si="3"/>
        <v>0</v>
      </c>
      <c r="M44" s="5">
        <f t="shared" si="4"/>
        <v>0</v>
      </c>
    </row>
    <row r="45" spans="2:13" ht="19" customHeight="1" thickBot="1" x14ac:dyDescent="0.4">
      <c r="B45" t="s">
        <v>128</v>
      </c>
      <c r="C45" s="40">
        <v>37</v>
      </c>
      <c r="D45" s="44" t="s">
        <v>100</v>
      </c>
      <c r="E45" s="40">
        <v>155</v>
      </c>
      <c r="F45" s="40" t="s">
        <v>10</v>
      </c>
      <c r="G45" s="31">
        <v>15000</v>
      </c>
      <c r="H45" s="76">
        <f t="shared" si="0"/>
        <v>2325000</v>
      </c>
      <c r="I45" s="48">
        <v>0.05</v>
      </c>
      <c r="J45" s="5">
        <f t="shared" si="1"/>
        <v>750</v>
      </c>
      <c r="K45" s="5">
        <f t="shared" si="2"/>
        <v>116250</v>
      </c>
      <c r="L45" s="31">
        <f t="shared" si="3"/>
        <v>15750</v>
      </c>
      <c r="M45" s="5">
        <f t="shared" si="4"/>
        <v>2441250</v>
      </c>
    </row>
    <row r="46" spans="2:13" ht="46" customHeight="1" thickBot="1" x14ac:dyDescent="0.55000000000000004">
      <c r="H46" s="77">
        <f>SUM(H6:H45)</f>
        <v>23295000</v>
      </c>
      <c r="K46" s="55">
        <f>SUM(K6:K45)</f>
        <v>1183010</v>
      </c>
      <c r="M46" s="50">
        <f>SUM(M6:M45)</f>
        <v>24478010</v>
      </c>
    </row>
    <row r="47" spans="2:13" ht="16" x14ac:dyDescent="0.4">
      <c r="H47" s="20"/>
      <c r="J47" s="20"/>
      <c r="L47" s="32" t="s">
        <v>78</v>
      </c>
      <c r="M47" s="33">
        <v>21598810</v>
      </c>
    </row>
    <row r="48" spans="2:13" ht="16" x14ac:dyDescent="0.4">
      <c r="H48" s="20"/>
      <c r="L48" s="65" t="s">
        <v>132</v>
      </c>
      <c r="M48" s="66">
        <f>(M46-M47)</f>
        <v>2879200</v>
      </c>
    </row>
    <row r="49" spans="4:13" x14ac:dyDescent="0.35">
      <c r="D49" s="20"/>
    </row>
    <row r="51" spans="4:13" x14ac:dyDescent="0.35">
      <c r="M51" s="20"/>
    </row>
  </sheetData>
  <mergeCells count="2">
    <mergeCell ref="B3:M3"/>
    <mergeCell ref="B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9A32-FE97-4EB8-B0FE-F168CBBC5676}">
  <dimension ref="B4:M47"/>
  <sheetViews>
    <sheetView topLeftCell="A9" zoomScale="70" zoomScaleNormal="70" workbookViewId="0">
      <selection activeCell="D31" sqref="D31:H31"/>
    </sheetView>
  </sheetViews>
  <sheetFormatPr defaultRowHeight="14.5" x14ac:dyDescent="0.35"/>
  <cols>
    <col min="4" max="4" width="18.36328125" customWidth="1"/>
    <col min="5" max="5" width="15.08984375" customWidth="1"/>
    <col min="6" max="6" width="12.81640625" customWidth="1"/>
    <col min="8" max="8" width="9.90625" bestFit="1" customWidth="1"/>
    <col min="9" max="9" width="10.36328125" bestFit="1" customWidth="1"/>
    <col min="10" max="10" width="11" customWidth="1"/>
    <col min="11" max="11" width="16.90625" customWidth="1"/>
    <col min="12" max="12" width="14.54296875" customWidth="1"/>
    <col min="13" max="13" width="11.81640625" bestFit="1" customWidth="1"/>
  </cols>
  <sheetData>
    <row r="4" spans="2:13" ht="17" x14ac:dyDescent="0.5">
      <c r="C4" s="147" t="s">
        <v>149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</row>
    <row r="5" spans="2:13" ht="17" x14ac:dyDescent="0.5">
      <c r="C5" s="147" t="s">
        <v>153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</row>
    <row r="6" spans="2:13" x14ac:dyDescent="0.35">
      <c r="B6" s="19" t="s">
        <v>0</v>
      </c>
      <c r="C6" s="26" t="s">
        <v>1</v>
      </c>
      <c r="D6" s="26" t="s">
        <v>2</v>
      </c>
      <c r="E6" s="26" t="s">
        <v>3</v>
      </c>
      <c r="F6" s="26" t="s">
        <v>4</v>
      </c>
      <c r="G6" s="61" t="s">
        <v>101</v>
      </c>
      <c r="H6" s="61" t="s">
        <v>148</v>
      </c>
      <c r="I6" s="46" t="s">
        <v>48</v>
      </c>
      <c r="J6" s="46" t="s">
        <v>49</v>
      </c>
      <c r="K6" s="46" t="s">
        <v>102</v>
      </c>
      <c r="L6" s="46" t="s">
        <v>45</v>
      </c>
      <c r="M6" s="46" t="s">
        <v>44</v>
      </c>
    </row>
    <row r="7" spans="2:13" x14ac:dyDescent="0.35">
      <c r="B7" t="s">
        <v>103</v>
      </c>
      <c r="C7" s="2">
        <v>1</v>
      </c>
      <c r="D7" s="5" t="s">
        <v>116</v>
      </c>
      <c r="E7" s="4">
        <v>13</v>
      </c>
      <c r="F7" s="4" t="s">
        <v>53</v>
      </c>
      <c r="G7" s="5">
        <v>155000</v>
      </c>
      <c r="H7" s="5">
        <f>(G7*E7)</f>
        <v>2015000</v>
      </c>
      <c r="I7" s="48">
        <v>0.03</v>
      </c>
      <c r="J7" s="5">
        <f>(I7*G7)</f>
        <v>4650</v>
      </c>
      <c r="K7" s="5">
        <f>(J7*E7)</f>
        <v>60450</v>
      </c>
      <c r="L7" s="5">
        <f>(J7+G7)</f>
        <v>159650</v>
      </c>
      <c r="M7" s="5">
        <f>(L7*E7)</f>
        <v>2075450</v>
      </c>
    </row>
    <row r="8" spans="2:13" x14ac:dyDescent="0.35">
      <c r="C8" s="7"/>
      <c r="D8" s="14" t="s">
        <v>105</v>
      </c>
      <c r="E8" s="9"/>
      <c r="F8" s="9"/>
      <c r="G8" s="15"/>
      <c r="H8" s="5">
        <f t="shared" ref="H8:H31" si="0">(G8*E8)</f>
        <v>0</v>
      </c>
      <c r="I8" s="15"/>
      <c r="J8" s="5">
        <f t="shared" ref="J8:J31" si="1">(I8*G8)</f>
        <v>0</v>
      </c>
      <c r="K8" s="5">
        <f t="shared" ref="K8:K31" si="2">(J8*E8)</f>
        <v>0</v>
      </c>
      <c r="L8" s="5">
        <f t="shared" ref="L8:L31" si="3">(J8+G8)</f>
        <v>0</v>
      </c>
      <c r="M8" s="5">
        <f t="shared" ref="M8:M31" si="4">(L8*E8)</f>
        <v>0</v>
      </c>
    </row>
    <row r="9" spans="2:13" x14ac:dyDescent="0.35">
      <c r="B9" t="s">
        <v>103</v>
      </c>
      <c r="C9" s="2">
        <v>2</v>
      </c>
      <c r="D9" s="5" t="s">
        <v>106</v>
      </c>
      <c r="E9" s="10">
        <v>250</v>
      </c>
      <c r="F9" s="10" t="s">
        <v>10</v>
      </c>
      <c r="G9" s="5">
        <v>36000</v>
      </c>
      <c r="H9" s="5">
        <f t="shared" si="0"/>
        <v>9000000</v>
      </c>
      <c r="I9" s="48">
        <v>0.05</v>
      </c>
      <c r="J9" s="5">
        <f t="shared" si="1"/>
        <v>1800</v>
      </c>
      <c r="K9" s="5">
        <f t="shared" si="2"/>
        <v>450000</v>
      </c>
      <c r="L9" s="5">
        <f t="shared" si="3"/>
        <v>37800</v>
      </c>
      <c r="M9" s="5">
        <f t="shared" si="4"/>
        <v>9450000</v>
      </c>
    </row>
    <row r="10" spans="2:13" x14ac:dyDescent="0.35">
      <c r="B10" t="s">
        <v>145</v>
      </c>
      <c r="C10" s="2">
        <v>3</v>
      </c>
      <c r="D10" s="5" t="s">
        <v>16</v>
      </c>
      <c r="E10" s="4">
        <v>6</v>
      </c>
      <c r="F10" s="4" t="s">
        <v>10</v>
      </c>
      <c r="G10" s="5">
        <v>48000</v>
      </c>
      <c r="H10" s="5">
        <f t="shared" si="0"/>
        <v>288000</v>
      </c>
      <c r="I10" s="48">
        <v>0.05</v>
      </c>
      <c r="J10" s="5">
        <f t="shared" si="1"/>
        <v>2400</v>
      </c>
      <c r="K10" s="5">
        <f t="shared" si="2"/>
        <v>14400</v>
      </c>
      <c r="L10" s="5">
        <f t="shared" si="3"/>
        <v>50400</v>
      </c>
      <c r="M10" s="5">
        <f t="shared" si="4"/>
        <v>302400</v>
      </c>
    </row>
    <row r="11" spans="2:13" x14ac:dyDescent="0.35">
      <c r="B11" t="s">
        <v>145</v>
      </c>
      <c r="C11" s="2">
        <v>4</v>
      </c>
      <c r="D11" s="5" t="s">
        <v>17</v>
      </c>
      <c r="E11" s="4">
        <v>3</v>
      </c>
      <c r="F11" s="4" t="s">
        <v>10</v>
      </c>
      <c r="G11" s="5">
        <v>48000</v>
      </c>
      <c r="H11" s="5">
        <f t="shared" si="0"/>
        <v>144000</v>
      </c>
      <c r="I11" s="48">
        <v>0.05</v>
      </c>
      <c r="J11" s="5">
        <f t="shared" si="1"/>
        <v>2400</v>
      </c>
      <c r="K11" s="5">
        <f t="shared" si="2"/>
        <v>7200</v>
      </c>
      <c r="L11" s="5">
        <f t="shared" si="3"/>
        <v>50400</v>
      </c>
      <c r="M11" s="5">
        <f t="shared" si="4"/>
        <v>151200</v>
      </c>
    </row>
    <row r="12" spans="2:13" x14ac:dyDescent="0.35">
      <c r="B12" t="s">
        <v>145</v>
      </c>
      <c r="C12" s="2">
        <v>5</v>
      </c>
      <c r="D12" s="5" t="s">
        <v>62</v>
      </c>
      <c r="E12" s="4">
        <v>1</v>
      </c>
      <c r="F12" s="4" t="s">
        <v>10</v>
      </c>
      <c r="G12" s="5">
        <v>55000</v>
      </c>
      <c r="H12" s="5">
        <f t="shared" si="0"/>
        <v>55000</v>
      </c>
      <c r="I12" s="48">
        <v>0.05</v>
      </c>
      <c r="J12" s="5">
        <f t="shared" si="1"/>
        <v>2750</v>
      </c>
      <c r="K12" s="5">
        <f t="shared" si="2"/>
        <v>2750</v>
      </c>
      <c r="L12" s="5">
        <f t="shared" si="3"/>
        <v>57750</v>
      </c>
      <c r="M12" s="5">
        <f t="shared" si="4"/>
        <v>57750</v>
      </c>
    </row>
    <row r="13" spans="2:13" x14ac:dyDescent="0.35">
      <c r="B13" t="s">
        <v>145</v>
      </c>
      <c r="C13" s="2">
        <v>6</v>
      </c>
      <c r="D13" s="5" t="s">
        <v>107</v>
      </c>
      <c r="E13" s="4">
        <v>10</v>
      </c>
      <c r="F13" s="4" t="s">
        <v>10</v>
      </c>
      <c r="G13" s="5">
        <v>33000</v>
      </c>
      <c r="H13" s="5">
        <f t="shared" si="0"/>
        <v>330000</v>
      </c>
      <c r="I13" s="48">
        <v>0.05</v>
      </c>
      <c r="J13" s="5">
        <f t="shared" si="1"/>
        <v>1650</v>
      </c>
      <c r="K13" s="5">
        <f t="shared" si="2"/>
        <v>16500</v>
      </c>
      <c r="L13" s="5">
        <f t="shared" si="3"/>
        <v>34650</v>
      </c>
      <c r="M13" s="5">
        <f t="shared" si="4"/>
        <v>346500</v>
      </c>
    </row>
    <row r="14" spans="2:13" x14ac:dyDescent="0.35">
      <c r="B14" t="s">
        <v>145</v>
      </c>
      <c r="C14" s="2">
        <v>7</v>
      </c>
      <c r="D14" s="5" t="s">
        <v>108</v>
      </c>
      <c r="E14" s="4">
        <v>35</v>
      </c>
      <c r="F14" s="4" t="s">
        <v>10</v>
      </c>
      <c r="G14" s="5">
        <v>20000</v>
      </c>
      <c r="H14" s="5">
        <f t="shared" si="0"/>
        <v>700000</v>
      </c>
      <c r="I14" s="48">
        <v>0.05</v>
      </c>
      <c r="J14" s="5">
        <f t="shared" si="1"/>
        <v>1000</v>
      </c>
      <c r="K14" s="5">
        <f t="shared" si="2"/>
        <v>35000</v>
      </c>
      <c r="L14" s="5">
        <f t="shared" si="3"/>
        <v>21000</v>
      </c>
      <c r="M14" s="5">
        <f t="shared" si="4"/>
        <v>735000</v>
      </c>
    </row>
    <row r="15" spans="2:13" x14ac:dyDescent="0.35">
      <c r="B15" t="s">
        <v>103</v>
      </c>
      <c r="C15" s="2">
        <v>8</v>
      </c>
      <c r="D15" s="5" t="s">
        <v>28</v>
      </c>
      <c r="E15" s="4">
        <v>2</v>
      </c>
      <c r="F15" s="4" t="s">
        <v>10</v>
      </c>
      <c r="G15" s="68">
        <v>20000</v>
      </c>
      <c r="H15" s="5">
        <f t="shared" si="0"/>
        <v>40000</v>
      </c>
      <c r="I15" s="48">
        <v>0.04</v>
      </c>
      <c r="J15" s="5">
        <f t="shared" si="1"/>
        <v>800</v>
      </c>
      <c r="K15" s="5">
        <f t="shared" si="2"/>
        <v>1600</v>
      </c>
      <c r="L15" s="5">
        <f t="shared" si="3"/>
        <v>20800</v>
      </c>
      <c r="M15" s="5">
        <f t="shared" si="4"/>
        <v>41600</v>
      </c>
    </row>
    <row r="16" spans="2:13" x14ac:dyDescent="0.35">
      <c r="B16" t="s">
        <v>103</v>
      </c>
      <c r="C16" s="4">
        <v>9</v>
      </c>
      <c r="D16" s="5" t="s">
        <v>109</v>
      </c>
      <c r="E16" s="4">
        <v>2</v>
      </c>
      <c r="F16" s="4" t="s">
        <v>12</v>
      </c>
      <c r="G16" s="68">
        <v>30000</v>
      </c>
      <c r="H16" s="5">
        <f t="shared" si="0"/>
        <v>60000</v>
      </c>
      <c r="I16" s="48">
        <v>0.04</v>
      </c>
      <c r="J16" s="5">
        <f t="shared" si="1"/>
        <v>1200</v>
      </c>
      <c r="K16" s="5">
        <f t="shared" si="2"/>
        <v>2400</v>
      </c>
      <c r="L16" s="5">
        <f t="shared" si="3"/>
        <v>31200</v>
      </c>
      <c r="M16" s="5">
        <f t="shared" si="4"/>
        <v>62400</v>
      </c>
    </row>
    <row r="17" spans="2:13" x14ac:dyDescent="0.35">
      <c r="B17" t="s">
        <v>13</v>
      </c>
      <c r="C17" s="4">
        <v>11</v>
      </c>
      <c r="D17" s="5" t="s">
        <v>55</v>
      </c>
      <c r="E17" s="4">
        <v>1</v>
      </c>
      <c r="F17" s="4" t="s">
        <v>10</v>
      </c>
      <c r="G17" s="5">
        <v>15000</v>
      </c>
      <c r="H17" s="5">
        <f t="shared" si="0"/>
        <v>15000</v>
      </c>
      <c r="I17" s="48">
        <v>0.04</v>
      </c>
      <c r="J17" s="5">
        <f t="shared" si="1"/>
        <v>600</v>
      </c>
      <c r="K17" s="5">
        <f t="shared" si="2"/>
        <v>600</v>
      </c>
      <c r="L17" s="5">
        <f t="shared" si="3"/>
        <v>15600</v>
      </c>
      <c r="M17" s="5">
        <f t="shared" si="4"/>
        <v>15600</v>
      </c>
    </row>
    <row r="18" spans="2:13" x14ac:dyDescent="0.35">
      <c r="B18" t="s">
        <v>13</v>
      </c>
      <c r="C18" s="11">
        <v>12</v>
      </c>
      <c r="D18" s="5" t="s">
        <v>110</v>
      </c>
      <c r="E18" s="4">
        <v>1</v>
      </c>
      <c r="F18" s="4" t="s">
        <v>10</v>
      </c>
      <c r="G18" s="5">
        <v>40000</v>
      </c>
      <c r="H18" s="5">
        <f t="shared" si="0"/>
        <v>40000</v>
      </c>
      <c r="I18" s="48">
        <v>0.04</v>
      </c>
      <c r="J18" s="5">
        <f t="shared" si="1"/>
        <v>1600</v>
      </c>
      <c r="K18" s="5">
        <f t="shared" si="2"/>
        <v>1600</v>
      </c>
      <c r="L18" s="5">
        <f t="shared" si="3"/>
        <v>41600</v>
      </c>
      <c r="M18" s="5">
        <f t="shared" si="4"/>
        <v>41600</v>
      </c>
    </row>
    <row r="19" spans="2:13" x14ac:dyDescent="0.35">
      <c r="B19" t="s">
        <v>13</v>
      </c>
      <c r="C19" s="11">
        <v>13</v>
      </c>
      <c r="D19" s="5" t="s">
        <v>82</v>
      </c>
      <c r="E19" s="4">
        <v>0.5</v>
      </c>
      <c r="F19" s="4" t="s">
        <v>10</v>
      </c>
      <c r="G19" s="5">
        <v>40000</v>
      </c>
      <c r="H19" s="5">
        <f t="shared" si="0"/>
        <v>20000</v>
      </c>
      <c r="I19" s="48">
        <v>0.04</v>
      </c>
      <c r="J19" s="5">
        <f t="shared" si="1"/>
        <v>1600</v>
      </c>
      <c r="K19" s="5">
        <f t="shared" si="2"/>
        <v>800</v>
      </c>
      <c r="L19" s="5">
        <f t="shared" si="3"/>
        <v>41600</v>
      </c>
      <c r="M19" s="5">
        <f t="shared" si="4"/>
        <v>20800</v>
      </c>
    </row>
    <row r="20" spans="2:13" x14ac:dyDescent="0.35">
      <c r="B20" t="s">
        <v>103</v>
      </c>
      <c r="C20" s="11">
        <v>14</v>
      </c>
      <c r="D20" s="5" t="s">
        <v>68</v>
      </c>
      <c r="E20" s="4">
        <v>46</v>
      </c>
      <c r="F20" s="4" t="s">
        <v>90</v>
      </c>
      <c r="G20" s="5">
        <v>18000</v>
      </c>
      <c r="H20" s="5">
        <f t="shared" si="0"/>
        <v>828000</v>
      </c>
      <c r="I20" s="48">
        <v>0.03</v>
      </c>
      <c r="J20" s="5">
        <f t="shared" si="1"/>
        <v>540</v>
      </c>
      <c r="K20" s="5">
        <f t="shared" si="2"/>
        <v>24840</v>
      </c>
      <c r="L20" s="5">
        <f t="shared" si="3"/>
        <v>18540</v>
      </c>
      <c r="M20" s="5">
        <f t="shared" si="4"/>
        <v>852840</v>
      </c>
    </row>
    <row r="21" spans="2:13" x14ac:dyDescent="0.35">
      <c r="C21" s="12"/>
      <c r="D21" s="14" t="s">
        <v>111</v>
      </c>
      <c r="E21" s="9"/>
      <c r="F21" s="9"/>
      <c r="G21" s="15"/>
      <c r="H21" s="5">
        <f t="shared" si="0"/>
        <v>0</v>
      </c>
      <c r="I21" s="15"/>
      <c r="J21" s="5">
        <f t="shared" si="1"/>
        <v>0</v>
      </c>
      <c r="K21" s="5">
        <f t="shared" si="2"/>
        <v>0</v>
      </c>
      <c r="L21" s="5">
        <f t="shared" si="3"/>
        <v>0</v>
      </c>
      <c r="M21" s="5">
        <f t="shared" si="4"/>
        <v>0</v>
      </c>
    </row>
    <row r="22" spans="2:13" x14ac:dyDescent="0.35">
      <c r="B22" t="s">
        <v>30</v>
      </c>
      <c r="C22" s="4">
        <v>15</v>
      </c>
      <c r="D22" s="3" t="s">
        <v>112</v>
      </c>
      <c r="E22" s="10">
        <v>17</v>
      </c>
      <c r="F22" s="10" t="s">
        <v>32</v>
      </c>
      <c r="G22" s="5">
        <v>50000</v>
      </c>
      <c r="H22" s="5">
        <f t="shared" si="0"/>
        <v>850000</v>
      </c>
      <c r="I22" s="48">
        <v>0.05</v>
      </c>
      <c r="J22" s="5">
        <f t="shared" si="1"/>
        <v>2500</v>
      </c>
      <c r="K22" s="5">
        <f t="shared" si="2"/>
        <v>42500</v>
      </c>
      <c r="L22" s="5">
        <f t="shared" si="3"/>
        <v>52500</v>
      </c>
      <c r="M22" s="5">
        <f t="shared" si="4"/>
        <v>892500</v>
      </c>
    </row>
    <row r="23" spans="2:13" x14ac:dyDescent="0.35">
      <c r="B23" t="s">
        <v>13</v>
      </c>
      <c r="C23" s="4">
        <v>16</v>
      </c>
      <c r="D23" s="3" t="s">
        <v>33</v>
      </c>
      <c r="E23" s="4">
        <v>1</v>
      </c>
      <c r="F23" s="4" t="s">
        <v>10</v>
      </c>
      <c r="G23" s="5">
        <v>11000</v>
      </c>
      <c r="H23" s="5">
        <f t="shared" si="0"/>
        <v>11000</v>
      </c>
      <c r="I23" s="48">
        <v>0.03</v>
      </c>
      <c r="J23" s="5">
        <f t="shared" si="1"/>
        <v>330</v>
      </c>
      <c r="K23" s="5">
        <f t="shared" si="2"/>
        <v>330</v>
      </c>
      <c r="L23" s="5">
        <f t="shared" si="3"/>
        <v>11330</v>
      </c>
      <c r="M23" s="5">
        <f t="shared" si="4"/>
        <v>11330</v>
      </c>
    </row>
    <row r="24" spans="2:13" x14ac:dyDescent="0.35">
      <c r="C24" s="9"/>
      <c r="D24" s="14" t="s">
        <v>113</v>
      </c>
      <c r="E24" s="9"/>
      <c r="F24" s="9"/>
      <c r="G24" s="15"/>
      <c r="H24" s="5">
        <f t="shared" si="0"/>
        <v>0</v>
      </c>
      <c r="I24" s="63"/>
      <c r="J24" s="5">
        <f t="shared" si="1"/>
        <v>0</v>
      </c>
      <c r="K24" s="5">
        <f t="shared" si="2"/>
        <v>0</v>
      </c>
      <c r="L24" s="5">
        <f t="shared" si="3"/>
        <v>0</v>
      </c>
      <c r="M24" s="5">
        <f t="shared" si="4"/>
        <v>0</v>
      </c>
    </row>
    <row r="25" spans="2:13" x14ac:dyDescent="0.35">
      <c r="B25" t="s">
        <v>13</v>
      </c>
      <c r="C25" s="4">
        <v>17</v>
      </c>
      <c r="D25" s="5" t="s">
        <v>114</v>
      </c>
      <c r="E25" s="4">
        <v>155</v>
      </c>
      <c r="F25" s="4" t="s">
        <v>10</v>
      </c>
      <c r="G25" s="31">
        <v>15000</v>
      </c>
      <c r="H25" s="5">
        <f t="shared" si="0"/>
        <v>2325000</v>
      </c>
      <c r="I25" s="48">
        <v>0.05</v>
      </c>
      <c r="J25" s="5">
        <f t="shared" si="1"/>
        <v>750</v>
      </c>
      <c r="K25" s="5">
        <f t="shared" si="2"/>
        <v>116250</v>
      </c>
      <c r="L25" s="5">
        <f t="shared" si="3"/>
        <v>15750</v>
      </c>
      <c r="M25" s="5">
        <f t="shared" si="4"/>
        <v>2441250</v>
      </c>
    </row>
    <row r="26" spans="2:13" x14ac:dyDescent="0.35">
      <c r="B26" t="s">
        <v>13</v>
      </c>
      <c r="C26" s="4">
        <v>18</v>
      </c>
      <c r="D26" s="5" t="s">
        <v>17</v>
      </c>
      <c r="E26" s="4">
        <v>1</v>
      </c>
      <c r="F26" s="4" t="s">
        <v>10</v>
      </c>
      <c r="G26" s="5">
        <v>48000</v>
      </c>
      <c r="H26" s="5">
        <f t="shared" si="0"/>
        <v>48000</v>
      </c>
      <c r="I26" s="48">
        <v>0.05</v>
      </c>
      <c r="J26" s="5">
        <f t="shared" si="1"/>
        <v>2400</v>
      </c>
      <c r="K26" s="5">
        <f t="shared" si="2"/>
        <v>2400</v>
      </c>
      <c r="L26" s="5">
        <f t="shared" si="3"/>
        <v>50400</v>
      </c>
      <c r="M26" s="5">
        <f t="shared" si="4"/>
        <v>50400</v>
      </c>
    </row>
    <row r="27" spans="2:13" x14ac:dyDescent="0.35">
      <c r="B27" t="s">
        <v>13</v>
      </c>
      <c r="C27" s="4">
        <v>19</v>
      </c>
      <c r="D27" s="5" t="s">
        <v>16</v>
      </c>
      <c r="E27" s="4">
        <v>1.5</v>
      </c>
      <c r="F27" s="4" t="s">
        <v>10</v>
      </c>
      <c r="G27" s="5">
        <v>48000</v>
      </c>
      <c r="H27" s="5">
        <f t="shared" si="0"/>
        <v>72000</v>
      </c>
      <c r="I27" s="48">
        <v>0.05</v>
      </c>
      <c r="J27" s="5">
        <f t="shared" si="1"/>
        <v>2400</v>
      </c>
      <c r="K27" s="5">
        <f t="shared" si="2"/>
        <v>3600</v>
      </c>
      <c r="L27" s="5">
        <f t="shared" si="3"/>
        <v>50400</v>
      </c>
      <c r="M27" s="5">
        <f t="shared" si="4"/>
        <v>75600</v>
      </c>
    </row>
    <row r="28" spans="2:13" x14ac:dyDescent="0.35">
      <c r="B28" t="s">
        <v>103</v>
      </c>
      <c r="C28" s="4">
        <v>20</v>
      </c>
      <c r="D28" s="5" t="s">
        <v>93</v>
      </c>
      <c r="E28" s="4">
        <v>1</v>
      </c>
      <c r="F28" s="4" t="s">
        <v>90</v>
      </c>
      <c r="G28" s="5">
        <v>70000</v>
      </c>
      <c r="H28" s="5">
        <f t="shared" si="0"/>
        <v>70000</v>
      </c>
      <c r="I28" s="48">
        <v>0.03</v>
      </c>
      <c r="J28" s="5">
        <f t="shared" si="1"/>
        <v>2100</v>
      </c>
      <c r="K28" s="5">
        <f t="shared" si="2"/>
        <v>2100</v>
      </c>
      <c r="L28" s="5">
        <f t="shared" si="3"/>
        <v>72100</v>
      </c>
      <c r="M28" s="5">
        <f t="shared" si="4"/>
        <v>72100</v>
      </c>
    </row>
    <row r="29" spans="2:13" x14ac:dyDescent="0.35">
      <c r="B29" t="s">
        <v>103</v>
      </c>
      <c r="C29" s="4">
        <v>21</v>
      </c>
      <c r="D29" s="5" t="s">
        <v>26</v>
      </c>
      <c r="E29" s="4">
        <v>2</v>
      </c>
      <c r="F29" s="4" t="s">
        <v>27</v>
      </c>
      <c r="G29" s="5">
        <v>6000</v>
      </c>
      <c r="H29" s="5">
        <f t="shared" si="0"/>
        <v>12000</v>
      </c>
      <c r="I29" s="48">
        <v>0.03</v>
      </c>
      <c r="J29" s="5">
        <f t="shared" si="1"/>
        <v>180</v>
      </c>
      <c r="K29" s="5">
        <f t="shared" si="2"/>
        <v>360</v>
      </c>
      <c r="L29" s="5">
        <f t="shared" si="3"/>
        <v>6180</v>
      </c>
      <c r="M29" s="5">
        <f t="shared" si="4"/>
        <v>12360</v>
      </c>
    </row>
    <row r="30" spans="2:13" x14ac:dyDescent="0.35">
      <c r="C30" s="9"/>
      <c r="D30" s="14" t="s">
        <v>41</v>
      </c>
      <c r="E30" s="9"/>
      <c r="F30" s="9"/>
      <c r="G30" s="15"/>
      <c r="H30" s="5">
        <f t="shared" si="0"/>
        <v>0</v>
      </c>
      <c r="I30" s="15"/>
      <c r="J30" s="5">
        <f t="shared" si="1"/>
        <v>0</v>
      </c>
      <c r="K30" s="5">
        <f t="shared" si="2"/>
        <v>0</v>
      </c>
      <c r="L30" s="5">
        <f t="shared" si="3"/>
        <v>0</v>
      </c>
      <c r="M30" s="5">
        <f t="shared" si="4"/>
        <v>0</v>
      </c>
    </row>
    <row r="31" spans="2:13" ht="15" thickBot="1" x14ac:dyDescent="0.4">
      <c r="B31" t="s">
        <v>128</v>
      </c>
      <c r="C31" s="4">
        <v>22</v>
      </c>
      <c r="D31" s="5" t="s">
        <v>115</v>
      </c>
      <c r="E31" s="4">
        <v>130</v>
      </c>
      <c r="F31" s="4" t="s">
        <v>10</v>
      </c>
      <c r="G31" s="5">
        <v>14500</v>
      </c>
      <c r="H31" s="59">
        <f t="shared" si="0"/>
        <v>1885000</v>
      </c>
      <c r="I31" s="48">
        <v>0.05</v>
      </c>
      <c r="J31" s="5">
        <f t="shared" si="1"/>
        <v>725</v>
      </c>
      <c r="K31" s="5">
        <f t="shared" si="2"/>
        <v>94250</v>
      </c>
      <c r="L31" s="5">
        <f t="shared" si="3"/>
        <v>15225</v>
      </c>
      <c r="M31" s="5">
        <f t="shared" si="4"/>
        <v>1979250</v>
      </c>
    </row>
    <row r="32" spans="2:13" ht="37.5" customHeight="1" thickBot="1" x14ac:dyDescent="0.55000000000000004">
      <c r="H32" s="84">
        <f>SUM(H7:H31)</f>
        <v>18808000</v>
      </c>
      <c r="I32" s="62"/>
      <c r="K32" s="55">
        <f>SUM(K7:K31)</f>
        <v>879930</v>
      </c>
      <c r="M32" s="64">
        <f>SUM(M7:M31)</f>
        <v>19687930</v>
      </c>
    </row>
    <row r="33" spans="2:13" ht="16" x14ac:dyDescent="0.4">
      <c r="H33" s="20"/>
      <c r="L33" s="32" t="s">
        <v>78</v>
      </c>
      <c r="M33" s="33">
        <v>21598810</v>
      </c>
    </row>
    <row r="34" spans="2:13" ht="16" x14ac:dyDescent="0.4">
      <c r="I34" s="20"/>
      <c r="L34" s="65" t="s">
        <v>132</v>
      </c>
      <c r="M34" s="66">
        <f>(M32-M33)</f>
        <v>-1910880</v>
      </c>
    </row>
    <row r="37" spans="2:13" x14ac:dyDescent="0.35">
      <c r="F37" s="83" t="s">
        <v>147</v>
      </c>
      <c r="G37" s="83"/>
      <c r="J37" s="20"/>
    </row>
    <row r="38" spans="2:13" x14ac:dyDescent="0.35">
      <c r="B38" s="91" t="s">
        <v>0</v>
      </c>
      <c r="C38" s="71" t="s">
        <v>1</v>
      </c>
      <c r="D38" s="80" t="s">
        <v>2</v>
      </c>
      <c r="E38" s="80" t="s">
        <v>3</v>
      </c>
      <c r="F38" s="80" t="s">
        <v>4</v>
      </c>
      <c r="G38" s="81" t="s">
        <v>155</v>
      </c>
      <c r="H38" s="82" t="s">
        <v>156</v>
      </c>
      <c r="I38" s="82" t="s">
        <v>48</v>
      </c>
      <c r="J38" s="82" t="s">
        <v>157</v>
      </c>
      <c r="K38" s="82" t="s">
        <v>167</v>
      </c>
      <c r="L38" s="82" t="s">
        <v>158</v>
      </c>
      <c r="M38" s="82" t="s">
        <v>159</v>
      </c>
    </row>
    <row r="39" spans="2:13" x14ac:dyDescent="0.35">
      <c r="B39" s="5" t="s">
        <v>103</v>
      </c>
      <c r="C39" s="3">
        <v>1</v>
      </c>
      <c r="D39" s="5" t="s">
        <v>43</v>
      </c>
      <c r="E39" s="4">
        <v>1</v>
      </c>
      <c r="F39" s="5" t="s">
        <v>160</v>
      </c>
      <c r="G39" s="21">
        <v>120000</v>
      </c>
      <c r="H39" s="21">
        <f>(G39*E39)</f>
        <v>120000</v>
      </c>
      <c r="I39" s="29">
        <v>0.03</v>
      </c>
      <c r="J39" s="4">
        <f>(I39*G39)</f>
        <v>3600</v>
      </c>
      <c r="K39" s="21">
        <f>(J39*E39)</f>
        <v>3600</v>
      </c>
      <c r="L39" s="21">
        <f>(J39+G39)</f>
        <v>123600</v>
      </c>
      <c r="M39" s="5">
        <f>(L39*E39)</f>
        <v>123600</v>
      </c>
    </row>
    <row r="40" spans="2:13" x14ac:dyDescent="0.35">
      <c r="B40" s="5" t="s">
        <v>103</v>
      </c>
      <c r="C40" s="3">
        <v>2</v>
      </c>
      <c r="D40" s="5" t="s">
        <v>161</v>
      </c>
      <c r="E40" s="4">
        <v>2</v>
      </c>
      <c r="F40" s="5" t="s">
        <v>162</v>
      </c>
      <c r="G40" s="21">
        <v>144000</v>
      </c>
      <c r="H40" s="21">
        <f t="shared" ref="H40:H43" si="5">(G40*E40)</f>
        <v>288000</v>
      </c>
      <c r="I40" s="29">
        <v>0.03</v>
      </c>
      <c r="J40" s="4">
        <f t="shared" ref="J40:J43" si="6">(I40*G40)</f>
        <v>4320</v>
      </c>
      <c r="K40" s="21">
        <f t="shared" ref="K40:K43" si="7">(J40*E40)</f>
        <v>8640</v>
      </c>
      <c r="L40" s="21">
        <f t="shared" ref="L40:L43" si="8">(J40+G40)</f>
        <v>148320</v>
      </c>
      <c r="M40" s="5">
        <f t="shared" ref="M40:M43" si="9">(L40*E40)</f>
        <v>296640</v>
      </c>
    </row>
    <row r="41" spans="2:13" x14ac:dyDescent="0.35">
      <c r="B41" s="5" t="s">
        <v>103</v>
      </c>
      <c r="C41" s="3">
        <v>3</v>
      </c>
      <c r="D41" s="5" t="s">
        <v>163</v>
      </c>
      <c r="E41" s="4">
        <v>5</v>
      </c>
      <c r="F41" s="5" t="s">
        <v>39</v>
      </c>
      <c r="G41" s="21">
        <v>12000</v>
      </c>
      <c r="H41" s="21">
        <f t="shared" si="5"/>
        <v>60000</v>
      </c>
      <c r="I41" s="29">
        <v>0.03</v>
      </c>
      <c r="J41" s="4">
        <f t="shared" si="6"/>
        <v>360</v>
      </c>
      <c r="K41" s="21">
        <f t="shared" si="7"/>
        <v>1800</v>
      </c>
      <c r="L41" s="21">
        <f t="shared" si="8"/>
        <v>12360</v>
      </c>
      <c r="M41" s="5">
        <f t="shared" si="9"/>
        <v>61800</v>
      </c>
    </row>
    <row r="42" spans="2:13" x14ac:dyDescent="0.35">
      <c r="B42" s="5" t="s">
        <v>103</v>
      </c>
      <c r="C42" s="3">
        <v>4</v>
      </c>
      <c r="D42" s="5" t="s">
        <v>164</v>
      </c>
      <c r="E42" s="4">
        <v>1</v>
      </c>
      <c r="F42" s="5" t="s">
        <v>166</v>
      </c>
      <c r="G42" s="21">
        <v>20000</v>
      </c>
      <c r="H42" s="21">
        <f t="shared" si="5"/>
        <v>20000</v>
      </c>
      <c r="I42" s="29">
        <v>0.03</v>
      </c>
      <c r="J42" s="4">
        <f t="shared" si="6"/>
        <v>600</v>
      </c>
      <c r="K42" s="21">
        <f t="shared" si="7"/>
        <v>600</v>
      </c>
      <c r="L42" s="21">
        <f t="shared" si="8"/>
        <v>20600</v>
      </c>
      <c r="M42" s="5">
        <f t="shared" si="9"/>
        <v>20600</v>
      </c>
    </row>
    <row r="43" spans="2:13" x14ac:dyDescent="0.35">
      <c r="B43" s="5" t="s">
        <v>103</v>
      </c>
      <c r="C43" s="3">
        <v>5</v>
      </c>
      <c r="D43" s="5" t="s">
        <v>165</v>
      </c>
      <c r="E43" s="4">
        <v>1</v>
      </c>
      <c r="F43" s="5" t="s">
        <v>39</v>
      </c>
      <c r="G43" s="21">
        <v>27000</v>
      </c>
      <c r="H43" s="21">
        <f t="shared" si="5"/>
        <v>27000</v>
      </c>
      <c r="I43" s="29">
        <v>0.03</v>
      </c>
      <c r="J43" s="4">
        <f t="shared" si="6"/>
        <v>810</v>
      </c>
      <c r="K43" s="21">
        <f t="shared" si="7"/>
        <v>810</v>
      </c>
      <c r="L43" s="21">
        <f t="shared" si="8"/>
        <v>27810</v>
      </c>
      <c r="M43" s="5">
        <f t="shared" si="9"/>
        <v>27810</v>
      </c>
    </row>
    <row r="44" spans="2:13" ht="19" thickBot="1" x14ac:dyDescent="0.5">
      <c r="G44" s="18"/>
      <c r="H44" s="92">
        <f>SUM(H39:H43)</f>
        <v>515000</v>
      </c>
      <c r="K44" s="93">
        <f>SUM(K39:K43)</f>
        <v>15450</v>
      </c>
      <c r="M44" s="50">
        <f>SUM(M39:M43)</f>
        <v>530450</v>
      </c>
    </row>
    <row r="45" spans="2:13" ht="15" thickTop="1" x14ac:dyDescent="0.35">
      <c r="H45" s="20"/>
    </row>
    <row r="47" spans="2:13" x14ac:dyDescent="0.35">
      <c r="K47" s="20"/>
    </row>
  </sheetData>
  <mergeCells count="2">
    <mergeCell ref="C4:M4"/>
    <mergeCell ref="C5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1CF8-ED8D-4A9C-B038-982CDAAFA384}">
  <dimension ref="B5:M17"/>
  <sheetViews>
    <sheetView topLeftCell="A4" zoomScale="87" zoomScaleNormal="87" workbookViewId="0">
      <selection activeCell="D10" sqref="D10:H11"/>
    </sheetView>
  </sheetViews>
  <sheetFormatPr defaultRowHeight="14.5" x14ac:dyDescent="0.35"/>
  <cols>
    <col min="4" max="4" width="16" customWidth="1"/>
    <col min="5" max="5" width="14" customWidth="1"/>
    <col min="6" max="6" width="13.81640625" customWidth="1"/>
    <col min="7" max="7" width="13.90625" customWidth="1"/>
    <col min="8" max="8" width="14.1796875" customWidth="1"/>
    <col min="9" max="9" width="13.453125" customWidth="1"/>
    <col min="10" max="10" width="15.81640625" customWidth="1"/>
    <col min="11" max="11" width="15.36328125" customWidth="1"/>
    <col min="12" max="12" width="16.54296875" customWidth="1"/>
    <col min="13" max="13" width="17.08984375" customWidth="1"/>
  </cols>
  <sheetData>
    <row r="5" spans="2:13" ht="17" x14ac:dyDescent="0.5">
      <c r="C5" s="147" t="s">
        <v>149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</row>
    <row r="6" spans="2:13" ht="17" x14ac:dyDescent="0.5">
      <c r="C6" s="147" t="s">
        <v>152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</row>
    <row r="7" spans="2:13" x14ac:dyDescent="0.35">
      <c r="B7" s="19" t="s">
        <v>0</v>
      </c>
      <c r="C7" s="26" t="s">
        <v>1</v>
      </c>
      <c r="D7" s="26" t="s">
        <v>2</v>
      </c>
      <c r="E7" s="26" t="s">
        <v>3</v>
      </c>
      <c r="F7" s="26" t="s">
        <v>4</v>
      </c>
      <c r="G7" s="61" t="s">
        <v>101</v>
      </c>
      <c r="H7" s="61" t="s">
        <v>146</v>
      </c>
      <c r="I7" s="90" t="s">
        <v>48</v>
      </c>
      <c r="J7" s="46" t="s">
        <v>49</v>
      </c>
      <c r="K7" s="46" t="s">
        <v>102</v>
      </c>
      <c r="L7" s="46" t="s">
        <v>45</v>
      </c>
      <c r="M7" s="46" t="s">
        <v>44</v>
      </c>
    </row>
    <row r="8" spans="2:13" x14ac:dyDescent="0.35">
      <c r="B8" t="s">
        <v>177</v>
      </c>
      <c r="C8" s="2">
        <v>1</v>
      </c>
      <c r="D8" s="5" t="s">
        <v>133</v>
      </c>
      <c r="E8" s="4">
        <v>2340</v>
      </c>
      <c r="F8" s="4" t="s">
        <v>134</v>
      </c>
      <c r="G8" s="5">
        <v>2200</v>
      </c>
      <c r="H8" s="5">
        <f>(G8*E8)</f>
        <v>5148000</v>
      </c>
      <c r="I8" s="48">
        <v>0.05</v>
      </c>
      <c r="J8" s="5">
        <f>(I8*G8)</f>
        <v>110</v>
      </c>
      <c r="K8" s="5">
        <f>(J8*E8)</f>
        <v>257400</v>
      </c>
      <c r="L8" s="5">
        <f>(J8+G8)</f>
        <v>2310</v>
      </c>
      <c r="M8" s="5">
        <f>(L8*E8)</f>
        <v>5405400</v>
      </c>
    </row>
    <row r="9" spans="2:13" x14ac:dyDescent="0.35">
      <c r="B9" t="s">
        <v>176</v>
      </c>
      <c r="C9" s="2">
        <v>2</v>
      </c>
      <c r="D9" s="5" t="s">
        <v>59</v>
      </c>
      <c r="E9" s="4">
        <v>80</v>
      </c>
      <c r="F9" s="4" t="s">
        <v>32</v>
      </c>
      <c r="G9" s="5">
        <v>56000</v>
      </c>
      <c r="H9" s="5">
        <f t="shared" ref="H9:H11" si="0">(G9*E9)</f>
        <v>4480000</v>
      </c>
      <c r="I9" s="48">
        <v>0.05</v>
      </c>
      <c r="J9" s="5">
        <f t="shared" ref="J9:J11" si="1">(I9*G9)</f>
        <v>2800</v>
      </c>
      <c r="K9" s="5">
        <f t="shared" ref="K9:K11" si="2">(J9*E9)</f>
        <v>224000</v>
      </c>
      <c r="L9" s="5">
        <f t="shared" ref="L9:L11" si="3">(J9+G9)</f>
        <v>58800</v>
      </c>
      <c r="M9" s="5">
        <f t="shared" ref="M9:M11" si="4">(L9*E9)</f>
        <v>4704000</v>
      </c>
    </row>
    <row r="10" spans="2:13" x14ac:dyDescent="0.35">
      <c r="B10" t="s">
        <v>128</v>
      </c>
      <c r="C10" s="2">
        <v>4</v>
      </c>
      <c r="D10" s="5" t="s">
        <v>120</v>
      </c>
      <c r="E10" s="21">
        <v>59</v>
      </c>
      <c r="F10" s="4" t="s">
        <v>119</v>
      </c>
      <c r="G10" s="5">
        <v>142000</v>
      </c>
      <c r="H10" s="5">
        <f t="shared" si="0"/>
        <v>8378000</v>
      </c>
      <c r="I10" s="48">
        <v>0.05</v>
      </c>
      <c r="J10" s="5">
        <f t="shared" si="1"/>
        <v>7100</v>
      </c>
      <c r="K10" s="5">
        <f t="shared" si="2"/>
        <v>418900</v>
      </c>
      <c r="L10" s="5">
        <f t="shared" si="3"/>
        <v>149100</v>
      </c>
      <c r="M10" s="5">
        <f t="shared" si="4"/>
        <v>8796900</v>
      </c>
    </row>
    <row r="11" spans="2:13" ht="15" thickBot="1" x14ac:dyDescent="0.4">
      <c r="B11" t="s">
        <v>128</v>
      </c>
      <c r="C11" s="2">
        <v>5</v>
      </c>
      <c r="D11" s="5" t="s">
        <v>117</v>
      </c>
      <c r="E11" s="4">
        <v>149</v>
      </c>
      <c r="F11" s="4" t="s">
        <v>118</v>
      </c>
      <c r="G11" s="5">
        <v>16500</v>
      </c>
      <c r="H11" s="59">
        <f t="shared" si="0"/>
        <v>2458500</v>
      </c>
      <c r="I11" s="48">
        <v>0.05</v>
      </c>
      <c r="J11" s="5">
        <f t="shared" si="1"/>
        <v>825</v>
      </c>
      <c r="K11" s="5">
        <f t="shared" si="2"/>
        <v>122925</v>
      </c>
      <c r="L11" s="5">
        <f t="shared" si="3"/>
        <v>17325</v>
      </c>
      <c r="M11" s="5">
        <f t="shared" si="4"/>
        <v>2581425</v>
      </c>
    </row>
    <row r="12" spans="2:13" ht="33" customHeight="1" thickBot="1" x14ac:dyDescent="0.45">
      <c r="H12" s="84">
        <f>SUM(H8:H11)</f>
        <v>20464500</v>
      </c>
      <c r="J12" s="69"/>
      <c r="K12" s="70">
        <f>SUM(K8:K11)</f>
        <v>1023225</v>
      </c>
      <c r="M12" s="67">
        <f>SUM(M8:M11)</f>
        <v>21487725</v>
      </c>
    </row>
    <row r="13" spans="2:13" ht="16" x14ac:dyDescent="0.4">
      <c r="L13" s="32" t="s">
        <v>78</v>
      </c>
      <c r="M13" s="33">
        <v>21598810</v>
      </c>
    </row>
    <row r="14" spans="2:13" ht="16" x14ac:dyDescent="0.4">
      <c r="H14" s="20"/>
      <c r="L14" s="65" t="s">
        <v>132</v>
      </c>
      <c r="M14" s="66">
        <f>(M12-M13)</f>
        <v>-111085</v>
      </c>
    </row>
    <row r="15" spans="2:13" x14ac:dyDescent="0.35">
      <c r="H15" s="20"/>
    </row>
    <row r="17" spans="8:8" x14ac:dyDescent="0.35">
      <c r="H17" s="20"/>
    </row>
  </sheetData>
  <mergeCells count="2">
    <mergeCell ref="C5:M5"/>
    <mergeCell ref="C6:M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0017-D84D-40FF-B859-C9BC66DAFDD6}">
  <dimension ref="A2:K82"/>
  <sheetViews>
    <sheetView topLeftCell="A6" zoomScaleNormal="100" workbookViewId="0">
      <selection activeCell="A2" sqref="A2:K2"/>
    </sheetView>
  </sheetViews>
  <sheetFormatPr defaultRowHeight="14.5" x14ac:dyDescent="0.35"/>
  <cols>
    <col min="2" max="3" width="10.08984375" bestFit="1" customWidth="1"/>
    <col min="4" max="4" width="33.36328125" bestFit="1" customWidth="1"/>
    <col min="8" max="8" width="9.90625" bestFit="1" customWidth="1"/>
    <col min="10" max="10" width="12.6328125" bestFit="1" customWidth="1"/>
  </cols>
  <sheetData>
    <row r="2" spans="1:11" ht="17" x14ac:dyDescent="0.5">
      <c r="A2" s="148" t="s">
        <v>175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</row>
    <row r="3" spans="1:11" x14ac:dyDescent="0.35">
      <c r="B3" s="114"/>
      <c r="J3" s="114"/>
    </row>
    <row r="4" spans="1:11" x14ac:dyDescent="0.35">
      <c r="B4" s="117"/>
      <c r="C4" s="117">
        <v>46034</v>
      </c>
    </row>
    <row r="5" spans="1:11" x14ac:dyDescent="0.35">
      <c r="B5" s="1" t="s">
        <v>0</v>
      </c>
      <c r="C5" s="26" t="s">
        <v>1</v>
      </c>
      <c r="D5" s="26" t="s">
        <v>2</v>
      </c>
      <c r="E5" s="26" t="s">
        <v>3</v>
      </c>
      <c r="F5" s="26" t="s">
        <v>4</v>
      </c>
      <c r="G5" s="26" t="s">
        <v>46</v>
      </c>
      <c r="H5" s="26" t="s">
        <v>135</v>
      </c>
    </row>
    <row r="6" spans="1:11" x14ac:dyDescent="0.35">
      <c r="B6" t="s">
        <v>5</v>
      </c>
      <c r="C6" s="2">
        <v>1</v>
      </c>
      <c r="D6" s="3" t="s">
        <v>6</v>
      </c>
      <c r="E6" s="4">
        <v>13</v>
      </c>
      <c r="F6" s="4" t="s">
        <v>7</v>
      </c>
      <c r="G6" s="21">
        <v>155000</v>
      </c>
      <c r="H6" s="5">
        <f>(G6*E6)</f>
        <v>2015000</v>
      </c>
      <c r="J6" s="122" t="s">
        <v>178</v>
      </c>
      <c r="K6" s="123"/>
    </row>
    <row r="7" spans="1:11" x14ac:dyDescent="0.35">
      <c r="B7" s="6"/>
      <c r="C7" s="7"/>
      <c r="D7" s="8" t="s">
        <v>8</v>
      </c>
      <c r="E7" s="9"/>
      <c r="F7" s="9"/>
      <c r="G7" s="9"/>
      <c r="H7" s="5">
        <f t="shared" ref="H7:H20" si="0">(G7*E7)</f>
        <v>0</v>
      </c>
      <c r="J7" s="124">
        <v>12961000</v>
      </c>
      <c r="K7" s="125"/>
    </row>
    <row r="8" spans="1:11" x14ac:dyDescent="0.35">
      <c r="B8" t="s">
        <v>5</v>
      </c>
      <c r="C8" s="2">
        <v>2</v>
      </c>
      <c r="D8" s="3" t="s">
        <v>9</v>
      </c>
      <c r="E8" s="10">
        <v>260</v>
      </c>
      <c r="F8" s="10" t="s">
        <v>10</v>
      </c>
      <c r="G8" s="22">
        <v>36000</v>
      </c>
      <c r="H8" s="5">
        <f t="shared" si="0"/>
        <v>9360000</v>
      </c>
      <c r="J8" s="126">
        <v>8723000</v>
      </c>
      <c r="K8" s="125"/>
    </row>
    <row r="9" spans="1:11" x14ac:dyDescent="0.35">
      <c r="B9" t="s">
        <v>5</v>
      </c>
      <c r="C9" s="2">
        <v>3</v>
      </c>
      <c r="D9" s="3" t="s">
        <v>11</v>
      </c>
      <c r="E9" s="4">
        <v>3</v>
      </c>
      <c r="F9" s="4" t="s">
        <v>12</v>
      </c>
      <c r="G9" s="21">
        <v>30000</v>
      </c>
      <c r="H9" s="5">
        <f t="shared" si="0"/>
        <v>90000</v>
      </c>
      <c r="J9" s="126">
        <v>6952000</v>
      </c>
      <c r="K9" s="125"/>
    </row>
    <row r="10" spans="1:11" x14ac:dyDescent="0.35">
      <c r="B10" t="s">
        <v>5</v>
      </c>
      <c r="C10" s="2">
        <v>4</v>
      </c>
      <c r="D10" s="3" t="s">
        <v>15</v>
      </c>
      <c r="E10" s="4">
        <v>65</v>
      </c>
      <c r="F10" s="4" t="s">
        <v>10</v>
      </c>
      <c r="G10" s="21">
        <v>18000</v>
      </c>
      <c r="H10" s="5">
        <f t="shared" si="0"/>
        <v>1170000</v>
      </c>
      <c r="J10" s="126">
        <v>12025000</v>
      </c>
      <c r="K10" s="125"/>
    </row>
    <row r="11" spans="1:11" x14ac:dyDescent="0.35">
      <c r="B11" t="s">
        <v>5</v>
      </c>
      <c r="C11" s="2">
        <v>5</v>
      </c>
      <c r="D11" s="3" t="s">
        <v>26</v>
      </c>
      <c r="E11" s="4">
        <v>5</v>
      </c>
      <c r="F11" s="4" t="s">
        <v>27</v>
      </c>
      <c r="G11" s="21">
        <v>6000</v>
      </c>
      <c r="H11" s="5">
        <f t="shared" si="0"/>
        <v>30000</v>
      </c>
      <c r="J11" s="127">
        <v>4480000</v>
      </c>
      <c r="K11" s="128"/>
    </row>
    <row r="12" spans="1:11" ht="21.5" thickBot="1" x14ac:dyDescent="0.55000000000000004">
      <c r="B12" t="s">
        <v>5</v>
      </c>
      <c r="C12" s="2">
        <v>6</v>
      </c>
      <c r="D12" s="3" t="s">
        <v>28</v>
      </c>
      <c r="E12" s="4">
        <v>1</v>
      </c>
      <c r="F12" s="4" t="s">
        <v>10</v>
      </c>
      <c r="G12" s="21">
        <v>20000</v>
      </c>
      <c r="H12" s="5">
        <f t="shared" si="0"/>
        <v>20000</v>
      </c>
      <c r="J12" s="121">
        <f>SUM(J7:J11)</f>
        <v>45141000</v>
      </c>
    </row>
    <row r="13" spans="1:11" ht="15" thickTop="1" x14ac:dyDescent="0.35">
      <c r="B13" s="6"/>
      <c r="C13" s="12"/>
      <c r="D13" s="8" t="s">
        <v>29</v>
      </c>
      <c r="E13" s="9"/>
      <c r="F13" s="9"/>
      <c r="G13" s="9"/>
      <c r="H13" s="5">
        <f t="shared" si="0"/>
        <v>0</v>
      </c>
    </row>
    <row r="14" spans="1:11" x14ac:dyDescent="0.35">
      <c r="B14" t="s">
        <v>5</v>
      </c>
      <c r="C14" s="11">
        <v>7</v>
      </c>
      <c r="D14" s="3" t="s">
        <v>33</v>
      </c>
      <c r="E14" s="4">
        <v>6</v>
      </c>
      <c r="F14" s="4" t="s">
        <v>10</v>
      </c>
      <c r="G14" s="21">
        <v>11000</v>
      </c>
      <c r="H14" s="5">
        <f t="shared" si="0"/>
        <v>66000</v>
      </c>
    </row>
    <row r="15" spans="1:11" x14ac:dyDescent="0.35">
      <c r="B15" t="s">
        <v>5</v>
      </c>
      <c r="C15" s="13">
        <v>8</v>
      </c>
      <c r="D15" s="3" t="s">
        <v>34</v>
      </c>
      <c r="E15" s="4">
        <v>1</v>
      </c>
      <c r="F15" s="4" t="s">
        <v>35</v>
      </c>
      <c r="G15" s="21">
        <v>12000</v>
      </c>
      <c r="H15" s="5">
        <f t="shared" si="0"/>
        <v>12000</v>
      </c>
    </row>
    <row r="16" spans="1:11" x14ac:dyDescent="0.35">
      <c r="B16" s="6"/>
      <c r="C16" s="9"/>
      <c r="D16" s="14" t="s">
        <v>36</v>
      </c>
      <c r="E16" s="15"/>
      <c r="F16" s="15"/>
      <c r="G16" s="15"/>
      <c r="H16" s="5">
        <f t="shared" si="0"/>
        <v>0</v>
      </c>
    </row>
    <row r="17" spans="2:8" x14ac:dyDescent="0.35">
      <c r="B17" t="s">
        <v>5</v>
      </c>
      <c r="C17" s="4">
        <v>9</v>
      </c>
      <c r="D17" s="5" t="s">
        <v>50</v>
      </c>
      <c r="E17" s="4">
        <v>1</v>
      </c>
      <c r="F17" s="4" t="s">
        <v>39</v>
      </c>
      <c r="G17" s="21">
        <v>70000</v>
      </c>
      <c r="H17" s="5">
        <f t="shared" si="0"/>
        <v>70000</v>
      </c>
    </row>
    <row r="18" spans="2:8" x14ac:dyDescent="0.35">
      <c r="B18" t="s">
        <v>5</v>
      </c>
      <c r="C18" s="4">
        <v>10</v>
      </c>
      <c r="D18" s="5" t="s">
        <v>26</v>
      </c>
      <c r="E18" s="4">
        <v>3</v>
      </c>
      <c r="F18" s="4" t="s">
        <v>27</v>
      </c>
      <c r="G18" s="21">
        <v>6000</v>
      </c>
      <c r="H18" s="5">
        <f t="shared" si="0"/>
        <v>18000</v>
      </c>
    </row>
    <row r="19" spans="2:8" x14ac:dyDescent="0.35">
      <c r="B19" t="s">
        <v>5</v>
      </c>
      <c r="C19" s="4">
        <v>11</v>
      </c>
      <c r="D19" s="5" t="s">
        <v>28</v>
      </c>
      <c r="E19" s="4"/>
      <c r="F19" s="4"/>
      <c r="G19" s="4"/>
      <c r="H19" s="5">
        <f t="shared" si="0"/>
        <v>0</v>
      </c>
    </row>
    <row r="20" spans="2:8" x14ac:dyDescent="0.35">
      <c r="B20" t="s">
        <v>5</v>
      </c>
      <c r="C20" s="4">
        <v>12</v>
      </c>
      <c r="D20" s="5" t="s">
        <v>40</v>
      </c>
      <c r="E20" s="4">
        <v>5</v>
      </c>
      <c r="F20" s="4" t="s">
        <v>10</v>
      </c>
      <c r="G20" s="21">
        <v>22000</v>
      </c>
      <c r="H20" s="5">
        <f t="shared" si="0"/>
        <v>110000</v>
      </c>
    </row>
    <row r="21" spans="2:8" ht="15" thickBot="1" x14ac:dyDescent="0.4">
      <c r="H21" s="115">
        <f>SUM(H6:H20)</f>
        <v>12961000</v>
      </c>
    </row>
    <row r="22" spans="2:8" ht="15" thickTop="1" x14ac:dyDescent="0.35"/>
    <row r="23" spans="2:8" x14ac:dyDescent="0.35">
      <c r="C23" s="117">
        <v>46035</v>
      </c>
    </row>
    <row r="24" spans="2:8" x14ac:dyDescent="0.35">
      <c r="B24" s="19" t="s">
        <v>0</v>
      </c>
      <c r="C24" s="26" t="s">
        <v>1</v>
      </c>
      <c r="D24" s="26" t="s">
        <v>2</v>
      </c>
      <c r="E24" s="26" t="s">
        <v>3</v>
      </c>
      <c r="F24" s="26" t="s">
        <v>4</v>
      </c>
      <c r="G24" s="26" t="s">
        <v>46</v>
      </c>
      <c r="H24" s="26" t="s">
        <v>146</v>
      </c>
    </row>
    <row r="25" spans="2:8" x14ac:dyDescent="0.35">
      <c r="C25" s="5"/>
      <c r="D25" s="23" t="s">
        <v>51</v>
      </c>
      <c r="E25" s="5"/>
      <c r="F25" s="5"/>
      <c r="G25" s="21"/>
      <c r="H25" s="21"/>
    </row>
    <row r="26" spans="2:8" x14ac:dyDescent="0.35">
      <c r="B26" t="s">
        <v>5</v>
      </c>
      <c r="C26" s="2">
        <v>1</v>
      </c>
      <c r="D26" s="5" t="s">
        <v>52</v>
      </c>
      <c r="E26" s="4">
        <v>13</v>
      </c>
      <c r="F26" s="4" t="s">
        <v>53</v>
      </c>
      <c r="G26" s="21">
        <v>155000</v>
      </c>
      <c r="H26" s="21">
        <f>(G26*E26)</f>
        <v>2015000</v>
      </c>
    </row>
    <row r="27" spans="2:8" x14ac:dyDescent="0.35">
      <c r="B27" t="s">
        <v>5</v>
      </c>
      <c r="C27" s="2">
        <v>2</v>
      </c>
      <c r="D27" s="5" t="s">
        <v>57</v>
      </c>
      <c r="E27" s="4">
        <v>1</v>
      </c>
      <c r="F27" s="4" t="s">
        <v>12</v>
      </c>
      <c r="G27" s="21">
        <v>30000</v>
      </c>
      <c r="H27" s="21">
        <f t="shared" ref="H27:H41" si="1">(G27*E27)</f>
        <v>30000</v>
      </c>
    </row>
    <row r="28" spans="2:8" x14ac:dyDescent="0.35">
      <c r="B28" s="6"/>
      <c r="C28" s="7"/>
      <c r="D28" s="14" t="s">
        <v>58</v>
      </c>
      <c r="E28" s="9"/>
      <c r="F28" s="9"/>
      <c r="G28" s="37"/>
      <c r="H28" s="21">
        <f t="shared" si="1"/>
        <v>0</v>
      </c>
    </row>
    <row r="29" spans="2:8" x14ac:dyDescent="0.35">
      <c r="B29" t="s">
        <v>5</v>
      </c>
      <c r="C29" s="2">
        <v>3</v>
      </c>
      <c r="D29" s="5" t="s">
        <v>59</v>
      </c>
      <c r="E29" s="4">
        <v>78</v>
      </c>
      <c r="F29" s="4" t="s">
        <v>60</v>
      </c>
      <c r="G29" s="21">
        <v>56000</v>
      </c>
      <c r="H29" s="21">
        <f t="shared" si="1"/>
        <v>4368000</v>
      </c>
    </row>
    <row r="30" spans="2:8" x14ac:dyDescent="0.35">
      <c r="B30" t="s">
        <v>5</v>
      </c>
      <c r="C30" s="2">
        <v>4</v>
      </c>
      <c r="D30" s="5" t="s">
        <v>64</v>
      </c>
      <c r="E30" s="4">
        <v>27</v>
      </c>
      <c r="F30" s="4" t="s">
        <v>65</v>
      </c>
      <c r="G30" s="21">
        <v>27000</v>
      </c>
      <c r="H30" s="21">
        <f t="shared" si="1"/>
        <v>729000</v>
      </c>
    </row>
    <row r="31" spans="2:8" x14ac:dyDescent="0.35">
      <c r="B31" t="s">
        <v>5</v>
      </c>
      <c r="C31" s="2">
        <v>5</v>
      </c>
      <c r="D31" s="5" t="s">
        <v>66</v>
      </c>
      <c r="E31" s="4">
        <v>4</v>
      </c>
      <c r="F31" s="4" t="s">
        <v>39</v>
      </c>
      <c r="G31" s="21">
        <v>14000</v>
      </c>
      <c r="H31" s="21">
        <f t="shared" si="1"/>
        <v>56000</v>
      </c>
    </row>
    <row r="32" spans="2:8" x14ac:dyDescent="0.35">
      <c r="B32" t="s">
        <v>5</v>
      </c>
      <c r="C32" s="2">
        <v>6</v>
      </c>
      <c r="D32" s="5" t="s">
        <v>26</v>
      </c>
      <c r="E32" s="4">
        <v>2</v>
      </c>
      <c r="F32" s="4" t="s">
        <v>27</v>
      </c>
      <c r="G32" s="21">
        <v>6000</v>
      </c>
      <c r="H32" s="21">
        <f t="shared" si="1"/>
        <v>12000</v>
      </c>
    </row>
    <row r="33" spans="2:8" x14ac:dyDescent="0.35">
      <c r="B33" t="s">
        <v>5</v>
      </c>
      <c r="C33" s="2">
        <v>7</v>
      </c>
      <c r="D33" s="5" t="s">
        <v>67</v>
      </c>
      <c r="E33" s="4">
        <v>1</v>
      </c>
      <c r="F33" s="4" t="s">
        <v>27</v>
      </c>
      <c r="G33" s="21">
        <v>12000</v>
      </c>
      <c r="H33" s="21">
        <f t="shared" si="1"/>
        <v>12000</v>
      </c>
    </row>
    <row r="34" spans="2:8" x14ac:dyDescent="0.35">
      <c r="B34" t="s">
        <v>5</v>
      </c>
      <c r="C34" s="2">
        <v>8</v>
      </c>
      <c r="D34" s="5" t="s">
        <v>68</v>
      </c>
      <c r="E34" s="4">
        <v>65</v>
      </c>
      <c r="F34" s="4" t="s">
        <v>10</v>
      </c>
      <c r="G34" s="4">
        <v>18000</v>
      </c>
      <c r="H34" s="21">
        <f t="shared" si="1"/>
        <v>1170000</v>
      </c>
    </row>
    <row r="35" spans="2:8" x14ac:dyDescent="0.35">
      <c r="B35" s="6"/>
      <c r="C35" s="7"/>
      <c r="D35" s="35" t="s">
        <v>69</v>
      </c>
      <c r="E35" s="9"/>
      <c r="F35" s="9"/>
      <c r="G35" s="36"/>
      <c r="H35" s="21">
        <f t="shared" si="1"/>
        <v>0</v>
      </c>
    </row>
    <row r="36" spans="2:8" x14ac:dyDescent="0.35">
      <c r="B36" t="s">
        <v>5</v>
      </c>
      <c r="C36" s="2">
        <v>9</v>
      </c>
      <c r="D36" s="3" t="s">
        <v>33</v>
      </c>
      <c r="E36" s="4">
        <v>6</v>
      </c>
      <c r="F36" s="4" t="s">
        <v>10</v>
      </c>
      <c r="G36" s="21">
        <v>11000</v>
      </c>
      <c r="H36" s="21">
        <f t="shared" si="1"/>
        <v>66000</v>
      </c>
    </row>
    <row r="37" spans="2:8" x14ac:dyDescent="0.35">
      <c r="B37" s="6"/>
      <c r="C37" s="7"/>
      <c r="D37" s="14" t="s">
        <v>71</v>
      </c>
      <c r="E37" s="9"/>
      <c r="F37" s="9"/>
      <c r="G37" s="37"/>
      <c r="H37" s="21">
        <f t="shared" si="1"/>
        <v>0</v>
      </c>
    </row>
    <row r="38" spans="2:8" x14ac:dyDescent="0.35">
      <c r="B38" t="s">
        <v>5</v>
      </c>
      <c r="C38" s="2">
        <v>10</v>
      </c>
      <c r="D38" s="5" t="s">
        <v>73</v>
      </c>
      <c r="E38" s="4">
        <v>1</v>
      </c>
      <c r="F38" s="4" t="s">
        <v>10</v>
      </c>
      <c r="G38" s="4">
        <v>125000</v>
      </c>
      <c r="H38" s="21">
        <f t="shared" si="1"/>
        <v>125000</v>
      </c>
    </row>
    <row r="39" spans="2:8" x14ac:dyDescent="0.35">
      <c r="B39" t="s">
        <v>5</v>
      </c>
      <c r="C39" s="2">
        <v>11</v>
      </c>
      <c r="D39" s="5" t="s">
        <v>75</v>
      </c>
      <c r="E39" s="4">
        <v>7</v>
      </c>
      <c r="F39" s="4" t="s">
        <v>39</v>
      </c>
      <c r="G39" s="4">
        <v>14000</v>
      </c>
      <c r="H39" s="21">
        <f t="shared" si="1"/>
        <v>98000</v>
      </c>
    </row>
    <row r="40" spans="2:8" x14ac:dyDescent="0.35">
      <c r="B40" t="s">
        <v>5</v>
      </c>
      <c r="C40" s="2">
        <v>12</v>
      </c>
      <c r="D40" s="5" t="s">
        <v>57</v>
      </c>
      <c r="E40" s="4">
        <v>1</v>
      </c>
      <c r="F40" s="4" t="s">
        <v>12</v>
      </c>
      <c r="G40" s="25">
        <v>30000</v>
      </c>
      <c r="H40" s="21">
        <f t="shared" si="1"/>
        <v>30000</v>
      </c>
    </row>
    <row r="41" spans="2:8" x14ac:dyDescent="0.35">
      <c r="B41" t="s">
        <v>5</v>
      </c>
      <c r="C41" s="2">
        <v>13</v>
      </c>
      <c r="D41" s="5" t="s">
        <v>67</v>
      </c>
      <c r="E41" s="4">
        <v>1</v>
      </c>
      <c r="F41" s="4" t="s">
        <v>27</v>
      </c>
      <c r="G41" s="4">
        <v>12000</v>
      </c>
      <c r="H41" s="21">
        <f t="shared" si="1"/>
        <v>12000</v>
      </c>
    </row>
    <row r="42" spans="2:8" ht="15" thickBot="1" x14ac:dyDescent="0.4">
      <c r="H42" s="116">
        <f>SUM(H26:H41)</f>
        <v>8723000</v>
      </c>
    </row>
    <row r="43" spans="2:8" ht="15" thickTop="1" x14ac:dyDescent="0.35"/>
    <row r="44" spans="2:8" x14ac:dyDescent="0.35">
      <c r="C44" s="117">
        <v>46036</v>
      </c>
    </row>
    <row r="45" spans="2:8" x14ac:dyDescent="0.35">
      <c r="B45" s="1" t="s">
        <v>0</v>
      </c>
      <c r="C45" s="46" t="s">
        <v>1</v>
      </c>
      <c r="D45" s="46" t="s">
        <v>2</v>
      </c>
      <c r="E45" s="46" t="s">
        <v>3</v>
      </c>
      <c r="F45" s="85" t="s">
        <v>4</v>
      </c>
      <c r="G45" s="61" t="s">
        <v>101</v>
      </c>
      <c r="H45" s="61" t="s">
        <v>146</v>
      </c>
    </row>
    <row r="46" spans="2:8" x14ac:dyDescent="0.35">
      <c r="B46" t="s">
        <v>103</v>
      </c>
      <c r="C46" s="39">
        <v>1</v>
      </c>
      <c r="D46" s="44" t="s">
        <v>80</v>
      </c>
      <c r="E46" s="40">
        <v>14</v>
      </c>
      <c r="F46" s="40" t="s">
        <v>53</v>
      </c>
      <c r="G46" s="86">
        <v>155000</v>
      </c>
      <c r="H46" s="86">
        <f>(G46*E46)</f>
        <v>2170000</v>
      </c>
    </row>
    <row r="47" spans="2:8" x14ac:dyDescent="0.35">
      <c r="B47" s="6"/>
      <c r="C47" s="51"/>
      <c r="D47" s="52" t="s">
        <v>81</v>
      </c>
      <c r="E47" s="53"/>
      <c r="F47" s="53"/>
      <c r="G47" s="54"/>
      <c r="H47" s="47">
        <f t="shared" ref="H47:H60" si="2">(G47*E47)</f>
        <v>0</v>
      </c>
    </row>
    <row r="48" spans="2:8" x14ac:dyDescent="0.35">
      <c r="B48" t="s">
        <v>103</v>
      </c>
      <c r="C48" s="39">
        <v>2</v>
      </c>
      <c r="D48" s="44" t="s">
        <v>99</v>
      </c>
      <c r="E48" s="45">
        <v>1894000</v>
      </c>
      <c r="F48" s="40"/>
      <c r="G48" s="47">
        <v>1894000</v>
      </c>
      <c r="H48" s="47">
        <v>1894000</v>
      </c>
    </row>
    <row r="49" spans="2:8" x14ac:dyDescent="0.35">
      <c r="B49" t="s">
        <v>103</v>
      </c>
      <c r="C49" s="39">
        <v>3</v>
      </c>
      <c r="D49" s="44" t="s">
        <v>96</v>
      </c>
      <c r="E49" s="40">
        <v>110</v>
      </c>
      <c r="F49" s="40" t="s">
        <v>85</v>
      </c>
      <c r="G49" s="44">
        <v>7500</v>
      </c>
      <c r="H49" s="47">
        <f t="shared" si="2"/>
        <v>825000</v>
      </c>
    </row>
    <row r="50" spans="2:8" x14ac:dyDescent="0.35">
      <c r="B50" t="s">
        <v>103</v>
      </c>
      <c r="C50" s="39">
        <v>4</v>
      </c>
      <c r="D50" s="44" t="s">
        <v>86</v>
      </c>
      <c r="E50" s="40">
        <v>1</v>
      </c>
      <c r="F50" s="40" t="s">
        <v>12</v>
      </c>
      <c r="G50" s="47">
        <v>30000</v>
      </c>
      <c r="H50" s="47">
        <f t="shared" si="2"/>
        <v>30000</v>
      </c>
    </row>
    <row r="51" spans="2:8" x14ac:dyDescent="0.35">
      <c r="B51" t="s">
        <v>103</v>
      </c>
      <c r="C51" s="39">
        <v>5</v>
      </c>
      <c r="D51" s="44" t="s">
        <v>97</v>
      </c>
      <c r="E51" s="40">
        <v>2</v>
      </c>
      <c r="F51" s="40" t="s">
        <v>27</v>
      </c>
      <c r="G51" s="47">
        <v>12000</v>
      </c>
      <c r="H51" s="47">
        <f t="shared" si="2"/>
        <v>24000</v>
      </c>
    </row>
    <row r="52" spans="2:8" x14ac:dyDescent="0.35">
      <c r="B52" t="s">
        <v>103</v>
      </c>
      <c r="C52" s="39">
        <v>6</v>
      </c>
      <c r="D52" s="44" t="s">
        <v>15</v>
      </c>
      <c r="E52" s="40">
        <v>65</v>
      </c>
      <c r="F52" s="40" t="s">
        <v>10</v>
      </c>
      <c r="G52" s="47">
        <v>18000</v>
      </c>
      <c r="H52" s="47">
        <f t="shared" si="2"/>
        <v>1170000</v>
      </c>
    </row>
    <row r="53" spans="2:8" x14ac:dyDescent="0.35">
      <c r="B53" s="6"/>
      <c r="C53" s="53"/>
      <c r="D53" s="52" t="s">
        <v>88</v>
      </c>
      <c r="E53" s="53"/>
      <c r="F53" s="53"/>
      <c r="G53" s="54"/>
      <c r="H53" s="47">
        <f t="shared" si="2"/>
        <v>0</v>
      </c>
    </row>
    <row r="54" spans="2:8" x14ac:dyDescent="0.35">
      <c r="B54" t="s">
        <v>103</v>
      </c>
      <c r="C54" s="40">
        <v>7</v>
      </c>
      <c r="D54" s="44" t="s">
        <v>98</v>
      </c>
      <c r="E54" s="40">
        <v>25</v>
      </c>
      <c r="F54" s="40" t="s">
        <v>65</v>
      </c>
      <c r="G54" s="47">
        <v>27000</v>
      </c>
      <c r="H54" s="47">
        <f t="shared" si="2"/>
        <v>675000</v>
      </c>
    </row>
    <row r="55" spans="2:8" x14ac:dyDescent="0.35">
      <c r="B55" t="s">
        <v>103</v>
      </c>
      <c r="C55" s="40">
        <v>8</v>
      </c>
      <c r="D55" s="44" t="s">
        <v>66</v>
      </c>
      <c r="E55" s="40">
        <v>1</v>
      </c>
      <c r="F55" s="40" t="s">
        <v>90</v>
      </c>
      <c r="G55" s="31">
        <v>70000</v>
      </c>
      <c r="H55" s="47">
        <f t="shared" si="2"/>
        <v>70000</v>
      </c>
    </row>
    <row r="56" spans="2:8" x14ac:dyDescent="0.35">
      <c r="B56" t="s">
        <v>103</v>
      </c>
      <c r="C56" s="40">
        <v>9</v>
      </c>
      <c r="D56" s="44" t="s">
        <v>26</v>
      </c>
      <c r="E56" s="40">
        <v>1</v>
      </c>
      <c r="F56" s="40" t="s">
        <v>27</v>
      </c>
      <c r="G56" s="31">
        <v>6000</v>
      </c>
      <c r="H56" s="47">
        <f t="shared" si="2"/>
        <v>6000</v>
      </c>
    </row>
    <row r="57" spans="2:8" x14ac:dyDescent="0.35">
      <c r="B57" t="s">
        <v>103</v>
      </c>
      <c r="C57" s="40">
        <v>10</v>
      </c>
      <c r="D57" s="44" t="s">
        <v>97</v>
      </c>
      <c r="E57" s="40">
        <v>1</v>
      </c>
      <c r="F57" s="40" t="s">
        <v>27</v>
      </c>
      <c r="G57" s="47">
        <v>12000</v>
      </c>
      <c r="H57" s="47">
        <f t="shared" si="2"/>
        <v>12000</v>
      </c>
    </row>
    <row r="58" spans="2:8" x14ac:dyDescent="0.35">
      <c r="B58" s="6"/>
      <c r="C58" s="53"/>
      <c r="D58" s="52" t="s">
        <v>91</v>
      </c>
      <c r="E58" s="53"/>
      <c r="F58" s="53"/>
      <c r="G58" s="15"/>
      <c r="H58" s="47">
        <f t="shared" si="2"/>
        <v>0</v>
      </c>
    </row>
    <row r="59" spans="2:8" x14ac:dyDescent="0.35">
      <c r="B59" t="s">
        <v>103</v>
      </c>
      <c r="C59" s="40">
        <v>11</v>
      </c>
      <c r="D59" s="44" t="s">
        <v>93</v>
      </c>
      <c r="E59" s="40">
        <v>1</v>
      </c>
      <c r="F59" s="40" t="s">
        <v>90</v>
      </c>
      <c r="G59" s="49">
        <v>70000</v>
      </c>
      <c r="H59" s="47">
        <f t="shared" si="2"/>
        <v>70000</v>
      </c>
    </row>
    <row r="60" spans="2:8" x14ac:dyDescent="0.35">
      <c r="B60" t="s">
        <v>103</v>
      </c>
      <c r="C60" s="40">
        <v>12</v>
      </c>
      <c r="D60" s="44" t="s">
        <v>26</v>
      </c>
      <c r="E60" s="40">
        <v>1</v>
      </c>
      <c r="F60" s="40" t="s">
        <v>27</v>
      </c>
      <c r="G60" s="31">
        <v>6000</v>
      </c>
      <c r="H60" s="47">
        <f t="shared" si="2"/>
        <v>6000</v>
      </c>
    </row>
    <row r="61" spans="2:8" ht="15" thickBot="1" x14ac:dyDescent="0.4">
      <c r="H61" s="116">
        <f>SUM(H46:H60)</f>
        <v>6952000</v>
      </c>
    </row>
    <row r="62" spans="2:8" ht="15" thickTop="1" x14ac:dyDescent="0.35">
      <c r="H62" s="118"/>
    </row>
    <row r="63" spans="2:8" x14ac:dyDescent="0.35">
      <c r="B63" s="117"/>
      <c r="C63" s="117">
        <v>46037</v>
      </c>
    </row>
    <row r="64" spans="2:8" x14ac:dyDescent="0.35">
      <c r="B64" s="19" t="s">
        <v>0</v>
      </c>
      <c r="C64" s="26" t="s">
        <v>1</v>
      </c>
      <c r="D64" s="26" t="s">
        <v>2</v>
      </c>
      <c r="E64" s="26" t="s">
        <v>3</v>
      </c>
      <c r="F64" s="26" t="s">
        <v>4</v>
      </c>
      <c r="G64" s="61" t="s">
        <v>101</v>
      </c>
      <c r="H64" s="61" t="s">
        <v>148</v>
      </c>
    </row>
    <row r="65" spans="2:8" x14ac:dyDescent="0.35">
      <c r="B65" t="s">
        <v>103</v>
      </c>
      <c r="C65" s="2">
        <v>1</v>
      </c>
      <c r="D65" s="5" t="s">
        <v>116</v>
      </c>
      <c r="E65" s="4">
        <v>13</v>
      </c>
      <c r="F65" s="4" t="s">
        <v>53</v>
      </c>
      <c r="G65" s="5">
        <v>155000</v>
      </c>
      <c r="H65" s="5">
        <f>(G65*E65)</f>
        <v>2015000</v>
      </c>
    </row>
    <row r="66" spans="2:8" x14ac:dyDescent="0.35">
      <c r="C66" s="7"/>
      <c r="D66" s="14" t="s">
        <v>105</v>
      </c>
      <c r="E66" s="9"/>
      <c r="F66" s="9"/>
      <c r="G66" s="15"/>
      <c r="H66" s="5">
        <f t="shared" ref="H66:H73" si="3">(G66*E66)</f>
        <v>0</v>
      </c>
    </row>
    <row r="67" spans="2:8" x14ac:dyDescent="0.35">
      <c r="B67" t="s">
        <v>103</v>
      </c>
      <c r="C67" s="2">
        <v>2</v>
      </c>
      <c r="D67" s="5" t="s">
        <v>106</v>
      </c>
      <c r="E67" s="10">
        <v>250</v>
      </c>
      <c r="F67" s="10" t="s">
        <v>10</v>
      </c>
      <c r="G67" s="5">
        <v>36000</v>
      </c>
      <c r="H67" s="5">
        <f t="shared" si="3"/>
        <v>9000000</v>
      </c>
    </row>
    <row r="68" spans="2:8" x14ac:dyDescent="0.35">
      <c r="B68" t="s">
        <v>103</v>
      </c>
      <c r="C68" s="2">
        <v>3</v>
      </c>
      <c r="D68" s="5" t="s">
        <v>28</v>
      </c>
      <c r="E68" s="4">
        <v>2</v>
      </c>
      <c r="F68" s="4" t="s">
        <v>10</v>
      </c>
      <c r="G68" s="68">
        <v>20000</v>
      </c>
      <c r="H68" s="5">
        <f t="shared" si="3"/>
        <v>40000</v>
      </c>
    </row>
    <row r="69" spans="2:8" x14ac:dyDescent="0.35">
      <c r="B69" t="s">
        <v>103</v>
      </c>
      <c r="C69" s="2">
        <v>4</v>
      </c>
      <c r="D69" s="5" t="s">
        <v>109</v>
      </c>
      <c r="E69" s="4">
        <v>2</v>
      </c>
      <c r="F69" s="4" t="s">
        <v>12</v>
      </c>
      <c r="G69" s="68">
        <v>30000</v>
      </c>
      <c r="H69" s="5">
        <f t="shared" si="3"/>
        <v>60000</v>
      </c>
    </row>
    <row r="70" spans="2:8" x14ac:dyDescent="0.35">
      <c r="B70" t="s">
        <v>103</v>
      </c>
      <c r="C70" s="2">
        <v>5</v>
      </c>
      <c r="D70" s="5" t="s">
        <v>68</v>
      </c>
      <c r="E70" s="4">
        <v>46</v>
      </c>
      <c r="F70" s="4" t="s">
        <v>90</v>
      </c>
      <c r="G70" s="5">
        <v>18000</v>
      </c>
      <c r="H70" s="5">
        <f t="shared" si="3"/>
        <v>828000</v>
      </c>
    </row>
    <row r="71" spans="2:8" x14ac:dyDescent="0.35">
      <c r="C71" s="9"/>
      <c r="D71" s="14" t="s">
        <v>113</v>
      </c>
      <c r="E71" s="9"/>
      <c r="F71" s="9"/>
      <c r="G71" s="15"/>
      <c r="H71" s="5">
        <f t="shared" si="3"/>
        <v>0</v>
      </c>
    </row>
    <row r="72" spans="2:8" x14ac:dyDescent="0.35">
      <c r="B72" t="s">
        <v>103</v>
      </c>
      <c r="C72" s="4">
        <v>6</v>
      </c>
      <c r="D72" s="5" t="s">
        <v>93</v>
      </c>
      <c r="E72" s="4">
        <v>1</v>
      </c>
      <c r="F72" s="4" t="s">
        <v>90</v>
      </c>
      <c r="G72" s="5">
        <v>70000</v>
      </c>
      <c r="H72" s="5">
        <f t="shared" si="3"/>
        <v>70000</v>
      </c>
    </row>
    <row r="73" spans="2:8" x14ac:dyDescent="0.35">
      <c r="B73" t="s">
        <v>103</v>
      </c>
      <c r="C73" s="4">
        <v>7</v>
      </c>
      <c r="D73" s="5" t="s">
        <v>26</v>
      </c>
      <c r="E73" s="4">
        <v>2</v>
      </c>
      <c r="F73" s="4" t="s">
        <v>27</v>
      </c>
      <c r="G73" s="5">
        <v>6000</v>
      </c>
      <c r="H73" s="5">
        <f t="shared" si="3"/>
        <v>12000</v>
      </c>
    </row>
    <row r="74" spans="2:8" ht="15" thickBot="1" x14ac:dyDescent="0.4">
      <c r="H74" s="119">
        <f>SUM(H65:H73)</f>
        <v>12025000</v>
      </c>
    </row>
    <row r="75" spans="2:8" ht="15" thickTop="1" x14ac:dyDescent="0.35">
      <c r="H75" s="28"/>
    </row>
    <row r="76" spans="2:8" x14ac:dyDescent="0.35">
      <c r="C76" s="117">
        <v>46038</v>
      </c>
    </row>
    <row r="77" spans="2:8" x14ac:dyDescent="0.35">
      <c r="B77" s="120" t="s">
        <v>0</v>
      </c>
      <c r="C77" s="26" t="s">
        <v>1</v>
      </c>
      <c r="D77" s="26" t="s">
        <v>2</v>
      </c>
      <c r="E77" s="26" t="s">
        <v>3</v>
      </c>
      <c r="F77" s="26" t="s">
        <v>4</v>
      </c>
      <c r="G77" s="61" t="s">
        <v>101</v>
      </c>
      <c r="H77" s="61" t="s">
        <v>146</v>
      </c>
    </row>
    <row r="78" spans="2:8" x14ac:dyDescent="0.35">
      <c r="B78" t="s">
        <v>176</v>
      </c>
      <c r="C78" s="2">
        <v>1</v>
      </c>
      <c r="D78" s="5" t="s">
        <v>59</v>
      </c>
      <c r="E78" s="4">
        <v>80</v>
      </c>
      <c r="F78" s="4" t="s">
        <v>32</v>
      </c>
      <c r="G78" s="5">
        <v>56000</v>
      </c>
      <c r="H78" s="5">
        <f t="shared" ref="H78" si="4">(G78*E78)</f>
        <v>4480000</v>
      </c>
    </row>
    <row r="79" spans="2:8" x14ac:dyDescent="0.35">
      <c r="C79" s="5"/>
      <c r="D79" s="5"/>
      <c r="E79" s="5"/>
      <c r="F79" s="5"/>
      <c r="G79" s="5"/>
      <c r="H79" s="5"/>
    </row>
    <row r="80" spans="2:8" x14ac:dyDescent="0.35">
      <c r="C80" s="5"/>
      <c r="D80" s="5"/>
      <c r="E80" s="5"/>
      <c r="F80" s="5"/>
      <c r="G80" s="5"/>
      <c r="H80" s="5"/>
    </row>
    <row r="81" spans="8:8" ht="15" thickBot="1" x14ac:dyDescent="0.4">
      <c r="H81" s="115">
        <f>SUM(H78)</f>
        <v>4480000</v>
      </c>
    </row>
    <row r="82" spans="8:8" ht="15" thickTop="1" x14ac:dyDescent="0.35"/>
  </sheetData>
  <mergeCells count="1">
    <mergeCell ref="A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D598-B05A-4087-A015-3869E2E0E1F0}">
  <dimension ref="A2:K95"/>
  <sheetViews>
    <sheetView workbookViewId="0">
      <selection activeCell="L15" sqref="L15"/>
    </sheetView>
  </sheetViews>
  <sheetFormatPr defaultRowHeight="14.5" x14ac:dyDescent="0.35"/>
  <cols>
    <col min="3" max="3" width="10.08984375" bestFit="1" customWidth="1"/>
    <col min="4" max="4" width="33.36328125" bestFit="1" customWidth="1"/>
    <col min="8" max="8" width="9.90625" bestFit="1" customWidth="1"/>
    <col min="10" max="10" width="11.1796875" bestFit="1" customWidth="1"/>
  </cols>
  <sheetData>
    <row r="2" spans="1:11" ht="17" x14ac:dyDescent="0.5">
      <c r="A2" s="148" t="s">
        <v>180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</row>
    <row r="4" spans="1:11" x14ac:dyDescent="0.35">
      <c r="C4" s="117">
        <v>46034</v>
      </c>
    </row>
    <row r="5" spans="1:11" x14ac:dyDescent="0.35">
      <c r="B5" s="1" t="s">
        <v>0</v>
      </c>
      <c r="C5" s="26" t="s">
        <v>1</v>
      </c>
      <c r="D5" s="26" t="s">
        <v>2</v>
      </c>
      <c r="E5" s="26" t="s">
        <v>3</v>
      </c>
      <c r="F5" s="26" t="s">
        <v>4</v>
      </c>
      <c r="G5" s="26" t="s">
        <v>46</v>
      </c>
      <c r="H5" s="26" t="s">
        <v>135</v>
      </c>
    </row>
    <row r="6" spans="1:11" x14ac:dyDescent="0.35">
      <c r="B6" s="6"/>
      <c r="C6" s="7"/>
      <c r="D6" s="8" t="s">
        <v>8</v>
      </c>
      <c r="E6" s="9"/>
      <c r="F6" s="9"/>
      <c r="G6" s="9"/>
      <c r="H6" s="21">
        <f t="shared" ref="H6:H21" si="0">(G6*E6)</f>
        <v>0</v>
      </c>
    </row>
    <row r="7" spans="1:11" x14ac:dyDescent="0.35">
      <c r="B7" t="s">
        <v>13</v>
      </c>
      <c r="C7" s="2">
        <v>1</v>
      </c>
      <c r="D7" s="3" t="s">
        <v>14</v>
      </c>
      <c r="E7" s="4">
        <v>10</v>
      </c>
      <c r="F7" s="4" t="s">
        <v>10</v>
      </c>
      <c r="G7" s="21">
        <v>25000</v>
      </c>
      <c r="H7" s="21">
        <f t="shared" si="0"/>
        <v>250000</v>
      </c>
      <c r="J7" s="131" t="s">
        <v>179</v>
      </c>
      <c r="K7" s="132"/>
    </row>
    <row r="8" spans="1:11" x14ac:dyDescent="0.35">
      <c r="B8" t="s">
        <v>13</v>
      </c>
      <c r="C8" s="2">
        <v>2</v>
      </c>
      <c r="D8" s="3" t="s">
        <v>16</v>
      </c>
      <c r="E8" s="4">
        <v>6</v>
      </c>
      <c r="F8" s="4" t="s">
        <v>10</v>
      </c>
      <c r="G8" s="21">
        <v>40000</v>
      </c>
      <c r="H8" s="21">
        <f t="shared" si="0"/>
        <v>240000</v>
      </c>
      <c r="J8" s="126">
        <v>4326000</v>
      </c>
      <c r="K8" s="125"/>
    </row>
    <row r="9" spans="1:11" x14ac:dyDescent="0.35">
      <c r="B9" t="s">
        <v>13</v>
      </c>
      <c r="C9" s="2">
        <v>3</v>
      </c>
      <c r="D9" s="3" t="s">
        <v>17</v>
      </c>
      <c r="E9" s="4">
        <v>4</v>
      </c>
      <c r="F9" s="4" t="s">
        <v>10</v>
      </c>
      <c r="G9" s="21">
        <v>43000</v>
      </c>
      <c r="H9" s="21">
        <f t="shared" si="0"/>
        <v>172000</v>
      </c>
      <c r="J9" s="126">
        <v>3054500</v>
      </c>
      <c r="K9" s="125"/>
    </row>
    <row r="10" spans="1:11" x14ac:dyDescent="0.35">
      <c r="B10" t="s">
        <v>13</v>
      </c>
      <c r="C10" s="2">
        <v>4</v>
      </c>
      <c r="D10" s="3" t="s">
        <v>18</v>
      </c>
      <c r="E10" s="4">
        <v>1</v>
      </c>
      <c r="F10" s="4" t="s">
        <v>10</v>
      </c>
      <c r="G10" s="21">
        <v>75000</v>
      </c>
      <c r="H10" s="21">
        <f t="shared" si="0"/>
        <v>75000</v>
      </c>
      <c r="J10" s="126">
        <v>2946000</v>
      </c>
      <c r="K10" s="125"/>
    </row>
    <row r="11" spans="1:11" x14ac:dyDescent="0.35">
      <c r="B11" t="s">
        <v>13</v>
      </c>
      <c r="C11" s="2">
        <v>5</v>
      </c>
      <c r="D11" s="3" t="s">
        <v>19</v>
      </c>
      <c r="E11" s="4">
        <v>1</v>
      </c>
      <c r="F11" s="4" t="s">
        <v>10</v>
      </c>
      <c r="G11" s="21">
        <v>75000</v>
      </c>
      <c r="H11" s="21">
        <f t="shared" si="0"/>
        <v>75000</v>
      </c>
      <c r="J11" s="126">
        <v>4048000</v>
      </c>
      <c r="K11" s="125"/>
    </row>
    <row r="12" spans="1:11" ht="15" thickBot="1" x14ac:dyDescent="0.4">
      <c r="B12" t="s">
        <v>13</v>
      </c>
      <c r="C12" s="2">
        <v>6</v>
      </c>
      <c r="D12" s="3" t="s">
        <v>20</v>
      </c>
      <c r="E12" s="4">
        <v>8</v>
      </c>
      <c r="F12" s="4" t="s">
        <v>10</v>
      </c>
      <c r="G12" s="21">
        <v>30000</v>
      </c>
      <c r="H12" s="21">
        <f t="shared" si="0"/>
        <v>240000</v>
      </c>
      <c r="J12" s="126">
        <v>5148000</v>
      </c>
      <c r="K12" s="128"/>
    </row>
    <row r="13" spans="1:11" ht="19" thickBot="1" x14ac:dyDescent="0.5">
      <c r="B13" t="s">
        <v>13</v>
      </c>
      <c r="C13" s="2">
        <v>7</v>
      </c>
      <c r="D13" s="3" t="s">
        <v>21</v>
      </c>
      <c r="E13" s="4">
        <v>1</v>
      </c>
      <c r="F13" s="4" t="s">
        <v>10</v>
      </c>
      <c r="G13" s="21">
        <v>30000</v>
      </c>
      <c r="H13" s="21">
        <f t="shared" si="0"/>
        <v>30000</v>
      </c>
      <c r="J13" s="133">
        <f>SUM(J8:J12)</f>
        <v>19522500</v>
      </c>
    </row>
    <row r="14" spans="1:11" x14ac:dyDescent="0.35">
      <c r="B14" t="s">
        <v>145</v>
      </c>
      <c r="C14" s="2">
        <v>8</v>
      </c>
      <c r="D14" s="3" t="s">
        <v>22</v>
      </c>
      <c r="E14" s="4">
        <v>3</v>
      </c>
      <c r="F14" s="4" t="s">
        <v>10</v>
      </c>
      <c r="G14" s="21">
        <v>44000</v>
      </c>
      <c r="H14" s="21">
        <f t="shared" si="0"/>
        <v>132000</v>
      </c>
    </row>
    <row r="15" spans="1:11" x14ac:dyDescent="0.35">
      <c r="B15" t="s">
        <v>13</v>
      </c>
      <c r="C15" s="2">
        <v>9</v>
      </c>
      <c r="D15" s="3" t="s">
        <v>23</v>
      </c>
      <c r="E15" s="4">
        <v>35</v>
      </c>
      <c r="F15" s="4" t="s">
        <v>10</v>
      </c>
      <c r="G15" s="21">
        <v>10000</v>
      </c>
      <c r="H15" s="21">
        <f t="shared" si="0"/>
        <v>350000</v>
      </c>
    </row>
    <row r="16" spans="1:11" x14ac:dyDescent="0.35">
      <c r="B16" t="s">
        <v>13</v>
      </c>
      <c r="C16" s="2">
        <v>10</v>
      </c>
      <c r="D16" s="3" t="s">
        <v>24</v>
      </c>
      <c r="E16" s="4">
        <v>10</v>
      </c>
      <c r="F16" s="4" t="s">
        <v>10</v>
      </c>
      <c r="G16" s="21">
        <v>20000</v>
      </c>
      <c r="H16" s="21">
        <f t="shared" si="0"/>
        <v>200000</v>
      </c>
    </row>
    <row r="17" spans="2:8" x14ac:dyDescent="0.35">
      <c r="B17" t="s">
        <v>13</v>
      </c>
      <c r="C17" s="2">
        <v>11</v>
      </c>
      <c r="D17" s="3" t="s">
        <v>25</v>
      </c>
      <c r="E17" s="4">
        <v>1</v>
      </c>
      <c r="F17" s="4" t="s">
        <v>10</v>
      </c>
      <c r="G17" s="21">
        <v>350000</v>
      </c>
      <c r="H17" s="21">
        <f t="shared" si="0"/>
        <v>350000</v>
      </c>
    </row>
    <row r="18" spans="2:8" x14ac:dyDescent="0.35">
      <c r="B18" s="6"/>
      <c r="C18" s="12"/>
      <c r="D18" s="8" t="s">
        <v>29</v>
      </c>
      <c r="E18" s="9"/>
      <c r="F18" s="9"/>
      <c r="G18" s="9"/>
      <c r="H18" s="21">
        <f t="shared" si="0"/>
        <v>0</v>
      </c>
    </row>
    <row r="19" spans="2:8" x14ac:dyDescent="0.35">
      <c r="B19" s="6"/>
      <c r="C19" s="9"/>
      <c r="D19" s="14" t="s">
        <v>36</v>
      </c>
      <c r="E19" s="15"/>
      <c r="F19" s="15"/>
      <c r="G19" s="15"/>
      <c r="H19" s="21">
        <f t="shared" si="0"/>
        <v>0</v>
      </c>
    </row>
    <row r="20" spans="2:8" x14ac:dyDescent="0.35">
      <c r="B20" t="s">
        <v>13</v>
      </c>
      <c r="C20" s="4">
        <v>11</v>
      </c>
      <c r="D20" s="5" t="s">
        <v>37</v>
      </c>
      <c r="E20" s="4">
        <v>170</v>
      </c>
      <c r="F20" s="4" t="s">
        <v>10</v>
      </c>
      <c r="G20" s="21">
        <v>12000</v>
      </c>
      <c r="H20" s="21">
        <f t="shared" si="0"/>
        <v>2040000</v>
      </c>
    </row>
    <row r="21" spans="2:8" x14ac:dyDescent="0.35">
      <c r="B21" t="s">
        <v>13</v>
      </c>
      <c r="C21" s="4">
        <v>12</v>
      </c>
      <c r="D21" s="5" t="s">
        <v>38</v>
      </c>
      <c r="E21" s="4">
        <v>4</v>
      </c>
      <c r="F21" s="4" t="s">
        <v>10</v>
      </c>
      <c r="G21" s="21">
        <v>43000</v>
      </c>
      <c r="H21" s="21">
        <f t="shared" si="0"/>
        <v>172000</v>
      </c>
    </row>
    <row r="22" spans="2:8" ht="15" thickBot="1" x14ac:dyDescent="0.4">
      <c r="H22" s="116">
        <f>SUM(H7:H21)</f>
        <v>4326000</v>
      </c>
    </row>
    <row r="23" spans="2:8" ht="15" thickTop="1" x14ac:dyDescent="0.35"/>
    <row r="24" spans="2:8" x14ac:dyDescent="0.35">
      <c r="C24" s="117">
        <v>46035</v>
      </c>
    </row>
    <row r="25" spans="2:8" x14ac:dyDescent="0.35">
      <c r="B25" s="19" t="s">
        <v>0</v>
      </c>
      <c r="C25" s="26" t="s">
        <v>1</v>
      </c>
      <c r="D25" s="26" t="s">
        <v>2</v>
      </c>
      <c r="E25" s="26" t="s">
        <v>3</v>
      </c>
      <c r="F25" s="26" t="s">
        <v>4</v>
      </c>
      <c r="G25" s="26" t="s">
        <v>46</v>
      </c>
      <c r="H25" s="26" t="s">
        <v>146</v>
      </c>
    </row>
    <row r="26" spans="2:8" x14ac:dyDescent="0.35">
      <c r="C26" s="5"/>
      <c r="D26" s="23" t="s">
        <v>51</v>
      </c>
      <c r="E26" s="5"/>
      <c r="F26" s="5"/>
      <c r="G26" s="21"/>
      <c r="H26" s="21"/>
    </row>
    <row r="27" spans="2:8" x14ac:dyDescent="0.35">
      <c r="B27" t="s">
        <v>13</v>
      </c>
      <c r="C27" s="2">
        <v>1</v>
      </c>
      <c r="D27" s="5" t="s">
        <v>54</v>
      </c>
      <c r="E27" s="4">
        <v>1</v>
      </c>
      <c r="F27" s="4" t="s">
        <v>10</v>
      </c>
      <c r="G27" s="22">
        <v>35000</v>
      </c>
      <c r="H27" s="21">
        <f t="shared" ref="H27:H40" si="1">(G27*E27)</f>
        <v>35000</v>
      </c>
    </row>
    <row r="28" spans="2:8" x14ac:dyDescent="0.35">
      <c r="B28" t="s">
        <v>13</v>
      </c>
      <c r="C28" s="2">
        <v>2</v>
      </c>
      <c r="D28" s="5" t="s">
        <v>55</v>
      </c>
      <c r="E28" s="4">
        <v>1</v>
      </c>
      <c r="F28" s="4" t="s">
        <v>10</v>
      </c>
      <c r="G28" s="21">
        <v>15000</v>
      </c>
      <c r="H28" s="21">
        <f t="shared" si="1"/>
        <v>15000</v>
      </c>
    </row>
    <row r="29" spans="2:8" x14ac:dyDescent="0.35">
      <c r="B29" t="s">
        <v>13</v>
      </c>
      <c r="C29" s="2">
        <v>3</v>
      </c>
      <c r="D29" s="5" t="s">
        <v>56</v>
      </c>
      <c r="E29" s="4">
        <v>1</v>
      </c>
      <c r="F29" s="4" t="s">
        <v>35</v>
      </c>
      <c r="G29" s="21">
        <v>12000</v>
      </c>
      <c r="H29" s="21">
        <f t="shared" si="1"/>
        <v>12000</v>
      </c>
    </row>
    <row r="30" spans="2:8" x14ac:dyDescent="0.35">
      <c r="B30" s="6"/>
      <c r="C30" s="7"/>
      <c r="D30" s="14" t="s">
        <v>58</v>
      </c>
      <c r="E30" s="9"/>
      <c r="F30" s="9"/>
      <c r="G30" s="37"/>
      <c r="H30" s="21">
        <f t="shared" si="1"/>
        <v>0</v>
      </c>
    </row>
    <row r="31" spans="2:8" x14ac:dyDescent="0.35">
      <c r="B31" t="s">
        <v>13</v>
      </c>
      <c r="C31" s="2">
        <v>4</v>
      </c>
      <c r="D31" s="5" t="s">
        <v>16</v>
      </c>
      <c r="E31" s="4">
        <v>2.5</v>
      </c>
      <c r="F31" s="4" t="s">
        <v>10</v>
      </c>
      <c r="G31" s="21">
        <v>45000</v>
      </c>
      <c r="H31" s="21">
        <f t="shared" si="1"/>
        <v>112500</v>
      </c>
    </row>
    <row r="32" spans="2:8" x14ac:dyDescent="0.35">
      <c r="B32" t="s">
        <v>13</v>
      </c>
      <c r="C32" s="2">
        <v>5</v>
      </c>
      <c r="D32" s="5" t="s">
        <v>61</v>
      </c>
      <c r="E32" s="4">
        <v>1.5</v>
      </c>
      <c r="F32" s="4" t="s">
        <v>10</v>
      </c>
      <c r="G32" s="21">
        <v>45000</v>
      </c>
      <c r="H32" s="21">
        <f t="shared" si="1"/>
        <v>67500</v>
      </c>
    </row>
    <row r="33" spans="2:8" x14ac:dyDescent="0.35">
      <c r="B33" t="s">
        <v>13</v>
      </c>
      <c r="C33" s="2">
        <v>6</v>
      </c>
      <c r="D33" s="5" t="s">
        <v>20</v>
      </c>
      <c r="E33" s="4">
        <v>3</v>
      </c>
      <c r="F33" s="4" t="s">
        <v>10</v>
      </c>
      <c r="G33" s="21">
        <v>40000</v>
      </c>
      <c r="H33" s="21">
        <f t="shared" si="1"/>
        <v>120000</v>
      </c>
    </row>
    <row r="34" spans="2:8" x14ac:dyDescent="0.35">
      <c r="B34" t="s">
        <v>13</v>
      </c>
      <c r="C34" s="2">
        <v>7</v>
      </c>
      <c r="D34" s="5" t="s">
        <v>62</v>
      </c>
      <c r="E34" s="4">
        <v>1</v>
      </c>
      <c r="F34" s="4" t="s">
        <v>10</v>
      </c>
      <c r="G34" s="21">
        <v>70000</v>
      </c>
      <c r="H34" s="21">
        <f t="shared" si="1"/>
        <v>70000</v>
      </c>
    </row>
    <row r="35" spans="2:8" x14ac:dyDescent="0.35">
      <c r="B35" t="s">
        <v>13</v>
      </c>
      <c r="C35" s="2">
        <v>8</v>
      </c>
      <c r="D35" s="5" t="s">
        <v>63</v>
      </c>
      <c r="E35" s="4">
        <v>1</v>
      </c>
      <c r="F35" s="4" t="s">
        <v>10</v>
      </c>
      <c r="G35" s="21">
        <v>25000</v>
      </c>
      <c r="H35" s="21">
        <f t="shared" si="1"/>
        <v>25000</v>
      </c>
    </row>
    <row r="36" spans="2:8" x14ac:dyDescent="0.35">
      <c r="B36" s="6"/>
      <c r="C36" s="7"/>
      <c r="D36" s="14" t="s">
        <v>71</v>
      </c>
      <c r="E36" s="9"/>
      <c r="F36" s="9"/>
      <c r="G36" s="37"/>
      <c r="H36" s="21">
        <f t="shared" si="1"/>
        <v>0</v>
      </c>
    </row>
    <row r="37" spans="2:8" x14ac:dyDescent="0.35">
      <c r="B37" t="s">
        <v>13</v>
      </c>
      <c r="C37" s="2">
        <v>9</v>
      </c>
      <c r="D37" s="5" t="s">
        <v>72</v>
      </c>
      <c r="E37" s="4">
        <v>160</v>
      </c>
      <c r="F37" s="4" t="s">
        <v>10</v>
      </c>
      <c r="G37" s="21">
        <v>15000</v>
      </c>
      <c r="H37" s="21">
        <f t="shared" si="1"/>
        <v>2400000</v>
      </c>
    </row>
    <row r="38" spans="2:8" x14ac:dyDescent="0.35">
      <c r="B38" t="s">
        <v>13</v>
      </c>
      <c r="C38" s="2">
        <v>10</v>
      </c>
      <c r="D38" s="5" t="s">
        <v>17</v>
      </c>
      <c r="E38" s="4">
        <v>1.5</v>
      </c>
      <c r="F38" s="4" t="s">
        <v>10</v>
      </c>
      <c r="G38" s="21">
        <v>45000</v>
      </c>
      <c r="H38" s="21">
        <f t="shared" si="1"/>
        <v>67500</v>
      </c>
    </row>
    <row r="39" spans="2:8" x14ac:dyDescent="0.35">
      <c r="B39" t="s">
        <v>13</v>
      </c>
      <c r="C39" s="2">
        <v>11</v>
      </c>
      <c r="D39" s="5" t="s">
        <v>16</v>
      </c>
      <c r="E39" s="4">
        <v>2</v>
      </c>
      <c r="F39" s="4" t="s">
        <v>10</v>
      </c>
      <c r="G39" s="21">
        <v>45000</v>
      </c>
      <c r="H39" s="21">
        <f t="shared" si="1"/>
        <v>90000</v>
      </c>
    </row>
    <row r="40" spans="2:8" x14ac:dyDescent="0.35">
      <c r="B40" t="s">
        <v>13</v>
      </c>
      <c r="C40" s="2">
        <v>12</v>
      </c>
      <c r="D40" s="5" t="s">
        <v>74</v>
      </c>
      <c r="E40" s="4">
        <v>1</v>
      </c>
      <c r="F40" s="4" t="s">
        <v>10</v>
      </c>
      <c r="G40" s="21">
        <v>40000</v>
      </c>
      <c r="H40" s="21">
        <f t="shared" si="1"/>
        <v>40000</v>
      </c>
    </row>
    <row r="41" spans="2:8" ht="15" thickBot="1" x14ac:dyDescent="0.4">
      <c r="H41" s="116">
        <f>SUM(H27:H40)</f>
        <v>3054500</v>
      </c>
    </row>
    <row r="42" spans="2:8" ht="15" thickTop="1" x14ac:dyDescent="0.35"/>
    <row r="43" spans="2:8" x14ac:dyDescent="0.35">
      <c r="C43" s="117">
        <v>46036</v>
      </c>
    </row>
    <row r="44" spans="2:8" x14ac:dyDescent="0.35">
      <c r="B44" s="1" t="s">
        <v>0</v>
      </c>
      <c r="C44" s="46" t="s">
        <v>1</v>
      </c>
      <c r="D44" s="46" t="s">
        <v>2</v>
      </c>
      <c r="E44" s="46" t="s">
        <v>3</v>
      </c>
      <c r="F44" s="85" t="s">
        <v>4</v>
      </c>
      <c r="G44" s="61" t="s">
        <v>101</v>
      </c>
      <c r="H44" s="61" t="s">
        <v>146</v>
      </c>
    </row>
    <row r="45" spans="2:8" x14ac:dyDescent="0.35">
      <c r="B45" s="6"/>
      <c r="C45" s="51"/>
      <c r="D45" s="52" t="s">
        <v>81</v>
      </c>
      <c r="E45" s="53"/>
      <c r="F45" s="53"/>
      <c r="G45" s="54"/>
      <c r="H45" s="47">
        <f t="shared" ref="H45:H68" si="2">(G45*E45)</f>
        <v>0</v>
      </c>
    </row>
    <row r="46" spans="2:8" x14ac:dyDescent="0.35">
      <c r="B46" t="s">
        <v>13</v>
      </c>
      <c r="C46" s="39">
        <v>1</v>
      </c>
      <c r="D46" s="44" t="s">
        <v>55</v>
      </c>
      <c r="E46" s="40">
        <v>1</v>
      </c>
      <c r="F46" s="40" t="s">
        <v>10</v>
      </c>
      <c r="G46" s="47">
        <v>13000</v>
      </c>
      <c r="H46" s="47">
        <f t="shared" si="2"/>
        <v>13000</v>
      </c>
    </row>
    <row r="47" spans="2:8" x14ac:dyDescent="0.35">
      <c r="B47" t="s">
        <v>13</v>
      </c>
      <c r="C47" s="39">
        <v>2</v>
      </c>
      <c r="D47" s="44" t="s">
        <v>82</v>
      </c>
      <c r="E47" s="40">
        <v>1</v>
      </c>
      <c r="F47" s="40" t="s">
        <v>10</v>
      </c>
      <c r="G47" s="47">
        <v>30000</v>
      </c>
      <c r="H47" s="47">
        <f t="shared" si="2"/>
        <v>30000</v>
      </c>
    </row>
    <row r="48" spans="2:8" x14ac:dyDescent="0.35">
      <c r="B48" t="s">
        <v>13</v>
      </c>
      <c r="C48" s="39">
        <v>3</v>
      </c>
      <c r="D48" s="44" t="s">
        <v>83</v>
      </c>
      <c r="E48" s="40">
        <v>1</v>
      </c>
      <c r="F48" s="40" t="s">
        <v>10</v>
      </c>
      <c r="G48" s="44">
        <v>20000</v>
      </c>
      <c r="H48" s="47">
        <f t="shared" si="2"/>
        <v>20000</v>
      </c>
    </row>
    <row r="49" spans="2:8" x14ac:dyDescent="0.35">
      <c r="B49" t="s">
        <v>13</v>
      </c>
      <c r="C49" s="39">
        <v>4</v>
      </c>
      <c r="D49" s="44" t="s">
        <v>84</v>
      </c>
      <c r="E49" s="40">
        <v>1.5</v>
      </c>
      <c r="F49" s="40" t="s">
        <v>10</v>
      </c>
      <c r="G49" s="44">
        <v>20000</v>
      </c>
      <c r="H49" s="47">
        <f t="shared" si="2"/>
        <v>30000</v>
      </c>
    </row>
    <row r="50" spans="2:8" x14ac:dyDescent="0.35">
      <c r="B50" t="s">
        <v>13</v>
      </c>
      <c r="C50" s="39">
        <v>5</v>
      </c>
      <c r="D50" s="44" t="s">
        <v>16</v>
      </c>
      <c r="E50" s="40">
        <v>6</v>
      </c>
      <c r="F50" s="40" t="s">
        <v>10</v>
      </c>
      <c r="G50" s="47">
        <v>45000</v>
      </c>
      <c r="H50" s="47">
        <f t="shared" si="2"/>
        <v>270000</v>
      </c>
    </row>
    <row r="51" spans="2:8" x14ac:dyDescent="0.35">
      <c r="B51" t="s">
        <v>13</v>
      </c>
      <c r="C51" s="39">
        <v>6</v>
      </c>
      <c r="D51" s="44" t="s">
        <v>17</v>
      </c>
      <c r="E51" s="40">
        <v>2</v>
      </c>
      <c r="F51" s="40" t="s">
        <v>10</v>
      </c>
      <c r="G51" s="47">
        <v>45000</v>
      </c>
      <c r="H51" s="47">
        <f t="shared" si="2"/>
        <v>90000</v>
      </c>
    </row>
    <row r="52" spans="2:8" x14ac:dyDescent="0.35">
      <c r="B52" t="s">
        <v>13</v>
      </c>
      <c r="C52" s="39">
        <v>7</v>
      </c>
      <c r="D52" s="44" t="s">
        <v>62</v>
      </c>
      <c r="E52" s="40">
        <v>1</v>
      </c>
      <c r="F52" s="40" t="s">
        <v>10</v>
      </c>
      <c r="G52" s="44">
        <v>70000</v>
      </c>
      <c r="H52" s="47">
        <f t="shared" si="2"/>
        <v>70000</v>
      </c>
    </row>
    <row r="53" spans="2:8" x14ac:dyDescent="0.35">
      <c r="B53" t="s">
        <v>13</v>
      </c>
      <c r="C53" s="39">
        <v>8</v>
      </c>
      <c r="D53" s="44" t="s">
        <v>20</v>
      </c>
      <c r="E53" s="40">
        <v>6</v>
      </c>
      <c r="F53" s="40" t="s">
        <v>10</v>
      </c>
      <c r="G53" s="47">
        <v>40000</v>
      </c>
      <c r="H53" s="47">
        <f t="shared" si="2"/>
        <v>240000</v>
      </c>
    </row>
    <row r="54" spans="2:8" x14ac:dyDescent="0.35">
      <c r="B54" t="s">
        <v>13</v>
      </c>
      <c r="C54" s="39">
        <v>9</v>
      </c>
      <c r="D54" s="44" t="s">
        <v>21</v>
      </c>
      <c r="E54" s="40">
        <v>1</v>
      </c>
      <c r="F54" s="40" t="s">
        <v>10</v>
      </c>
      <c r="G54" s="44">
        <v>38000</v>
      </c>
      <c r="H54" s="47">
        <f t="shared" si="2"/>
        <v>38000</v>
      </c>
    </row>
    <row r="55" spans="2:8" x14ac:dyDescent="0.35">
      <c r="B55" t="s">
        <v>13</v>
      </c>
      <c r="C55" s="39">
        <v>10</v>
      </c>
      <c r="D55" s="44" t="s">
        <v>87</v>
      </c>
      <c r="E55" s="40">
        <v>1</v>
      </c>
      <c r="F55" s="40" t="s">
        <v>10</v>
      </c>
      <c r="G55" s="44">
        <v>25000</v>
      </c>
      <c r="H55" s="47">
        <f t="shared" si="2"/>
        <v>25000</v>
      </c>
    </row>
    <row r="56" spans="2:8" x14ac:dyDescent="0.35">
      <c r="B56" t="s">
        <v>13</v>
      </c>
      <c r="C56" s="39">
        <v>11</v>
      </c>
      <c r="D56" s="44" t="s">
        <v>22</v>
      </c>
      <c r="E56" s="40">
        <v>3</v>
      </c>
      <c r="F56" s="40" t="s">
        <v>10</v>
      </c>
      <c r="G56" s="47">
        <v>55000</v>
      </c>
      <c r="H56" s="47">
        <f t="shared" si="2"/>
        <v>165000</v>
      </c>
    </row>
    <row r="57" spans="2:8" x14ac:dyDescent="0.35">
      <c r="B57" s="6"/>
      <c r="C57" s="53"/>
      <c r="D57" s="52" t="s">
        <v>88</v>
      </c>
      <c r="E57" s="53"/>
      <c r="F57" s="53"/>
      <c r="G57" s="54"/>
      <c r="H57" s="47">
        <f t="shared" si="2"/>
        <v>0</v>
      </c>
    </row>
    <row r="58" spans="2:8" x14ac:dyDescent="0.35">
      <c r="B58" t="s">
        <v>13</v>
      </c>
      <c r="C58" s="40">
        <v>12</v>
      </c>
      <c r="D58" s="44" t="s">
        <v>16</v>
      </c>
      <c r="E58" s="40">
        <v>3</v>
      </c>
      <c r="F58" s="40" t="s">
        <v>10</v>
      </c>
      <c r="G58" s="47">
        <v>45000</v>
      </c>
      <c r="H58" s="47">
        <f t="shared" si="2"/>
        <v>135000</v>
      </c>
    </row>
    <row r="59" spans="2:8" x14ac:dyDescent="0.35">
      <c r="B59" t="s">
        <v>13</v>
      </c>
      <c r="C59" s="40">
        <v>13</v>
      </c>
      <c r="D59" s="44" t="s">
        <v>17</v>
      </c>
      <c r="E59" s="40">
        <v>1.5</v>
      </c>
      <c r="F59" s="40" t="s">
        <v>10</v>
      </c>
      <c r="G59" s="47">
        <v>45000</v>
      </c>
      <c r="H59" s="47">
        <f t="shared" si="2"/>
        <v>67500</v>
      </c>
    </row>
    <row r="60" spans="2:8" x14ac:dyDescent="0.35">
      <c r="B60" t="s">
        <v>13</v>
      </c>
      <c r="C60" s="40">
        <v>14</v>
      </c>
      <c r="D60" s="44" t="s">
        <v>20</v>
      </c>
      <c r="E60" s="40">
        <v>3</v>
      </c>
      <c r="F60" s="40" t="s">
        <v>10</v>
      </c>
      <c r="G60" s="47">
        <v>40000</v>
      </c>
      <c r="H60" s="47">
        <f t="shared" si="2"/>
        <v>120000</v>
      </c>
    </row>
    <row r="61" spans="2:8" x14ac:dyDescent="0.35">
      <c r="B61" t="s">
        <v>13</v>
      </c>
      <c r="C61" s="40">
        <v>15</v>
      </c>
      <c r="D61" s="44" t="s">
        <v>62</v>
      </c>
      <c r="E61" s="40">
        <v>0.5</v>
      </c>
      <c r="F61" s="40" t="s">
        <v>10</v>
      </c>
      <c r="G61" s="47">
        <v>70000</v>
      </c>
      <c r="H61" s="47">
        <f t="shared" si="2"/>
        <v>35000</v>
      </c>
    </row>
    <row r="62" spans="2:8" x14ac:dyDescent="0.35">
      <c r="B62" t="s">
        <v>13</v>
      </c>
      <c r="C62" s="40">
        <v>16</v>
      </c>
      <c r="D62" s="44" t="s">
        <v>89</v>
      </c>
      <c r="E62" s="40">
        <v>0.5</v>
      </c>
      <c r="F62" s="40" t="s">
        <v>10</v>
      </c>
      <c r="G62" s="47">
        <v>20000</v>
      </c>
      <c r="H62" s="47">
        <f t="shared" si="2"/>
        <v>10000</v>
      </c>
    </row>
    <row r="63" spans="2:8" x14ac:dyDescent="0.35">
      <c r="B63" t="s">
        <v>13</v>
      </c>
      <c r="C63" s="40">
        <v>17</v>
      </c>
      <c r="D63" s="44" t="s">
        <v>82</v>
      </c>
      <c r="E63" s="40">
        <v>0.5</v>
      </c>
      <c r="F63" s="40" t="s">
        <v>10</v>
      </c>
      <c r="G63" s="47">
        <v>30000</v>
      </c>
      <c r="H63" s="47">
        <f t="shared" si="2"/>
        <v>15000</v>
      </c>
    </row>
    <row r="64" spans="2:8" x14ac:dyDescent="0.35">
      <c r="B64" s="6"/>
      <c r="C64" s="53"/>
      <c r="D64" s="52" t="s">
        <v>91</v>
      </c>
      <c r="E64" s="53"/>
      <c r="F64" s="53"/>
      <c r="G64" s="15"/>
      <c r="H64" s="47">
        <f t="shared" si="2"/>
        <v>0</v>
      </c>
    </row>
    <row r="65" spans="2:8" x14ac:dyDescent="0.35">
      <c r="B65" t="s">
        <v>13</v>
      </c>
      <c r="C65" s="40">
        <v>18</v>
      </c>
      <c r="D65" s="44" t="s">
        <v>92</v>
      </c>
      <c r="E65" s="40">
        <v>140</v>
      </c>
      <c r="F65" s="40" t="s">
        <v>10</v>
      </c>
      <c r="G65" s="31">
        <v>10000</v>
      </c>
      <c r="H65" s="47">
        <f t="shared" si="2"/>
        <v>1400000</v>
      </c>
    </row>
    <row r="66" spans="2:8" x14ac:dyDescent="0.35">
      <c r="B66" t="s">
        <v>13</v>
      </c>
      <c r="C66" s="40">
        <v>19</v>
      </c>
      <c r="D66" s="44" t="s">
        <v>17</v>
      </c>
      <c r="E66" s="40">
        <v>1</v>
      </c>
      <c r="F66" s="40" t="s">
        <v>10</v>
      </c>
      <c r="G66" s="31">
        <v>45000</v>
      </c>
      <c r="H66" s="47">
        <f t="shared" si="2"/>
        <v>45000</v>
      </c>
    </row>
    <row r="67" spans="2:8" x14ac:dyDescent="0.35">
      <c r="B67" t="s">
        <v>13</v>
      </c>
      <c r="C67" s="40">
        <v>20</v>
      </c>
      <c r="D67" s="44" t="s">
        <v>16</v>
      </c>
      <c r="E67" s="40">
        <v>1.5</v>
      </c>
      <c r="F67" s="40" t="s">
        <v>10</v>
      </c>
      <c r="G67" s="31">
        <v>45000</v>
      </c>
      <c r="H67" s="47">
        <f t="shared" si="2"/>
        <v>67500</v>
      </c>
    </row>
    <row r="68" spans="2:8" x14ac:dyDescent="0.35">
      <c r="B68" t="s">
        <v>13</v>
      </c>
      <c r="C68" s="40">
        <v>21</v>
      </c>
      <c r="D68" s="44" t="s">
        <v>74</v>
      </c>
      <c r="E68" s="40">
        <v>1.5</v>
      </c>
      <c r="F68" s="40" t="s">
        <v>10</v>
      </c>
      <c r="G68" s="31">
        <v>40000</v>
      </c>
      <c r="H68" s="47">
        <f t="shared" si="2"/>
        <v>60000</v>
      </c>
    </row>
    <row r="69" spans="2:8" ht="15" thickBot="1" x14ac:dyDescent="0.4">
      <c r="H69" s="116">
        <f>SUM(H46:H68)</f>
        <v>2946000</v>
      </c>
    </row>
    <row r="70" spans="2:8" ht="15" thickTop="1" x14ac:dyDescent="0.35"/>
    <row r="71" spans="2:8" x14ac:dyDescent="0.35">
      <c r="C71" s="117">
        <v>46037</v>
      </c>
    </row>
    <row r="72" spans="2:8" x14ac:dyDescent="0.35">
      <c r="B72" s="19" t="s">
        <v>0</v>
      </c>
      <c r="C72" s="26" t="s">
        <v>1</v>
      </c>
      <c r="D72" s="26" t="s">
        <v>2</v>
      </c>
      <c r="E72" s="26" t="s">
        <v>3</v>
      </c>
      <c r="F72" s="26" t="s">
        <v>4</v>
      </c>
      <c r="G72" s="61" t="s">
        <v>101</v>
      </c>
      <c r="H72" s="61" t="s">
        <v>148</v>
      </c>
    </row>
    <row r="73" spans="2:8" x14ac:dyDescent="0.35">
      <c r="C73" s="7"/>
      <c r="D73" s="14" t="s">
        <v>105</v>
      </c>
      <c r="E73" s="9"/>
      <c r="F73" s="9"/>
      <c r="G73" s="15"/>
      <c r="H73" s="5">
        <f t="shared" ref="H73:H87" si="3">(G73*E73)</f>
        <v>0</v>
      </c>
    </row>
    <row r="74" spans="2:8" x14ac:dyDescent="0.35">
      <c r="B74" t="s">
        <v>145</v>
      </c>
      <c r="C74" s="2">
        <v>1</v>
      </c>
      <c r="D74" s="5" t="s">
        <v>16</v>
      </c>
      <c r="E74" s="4">
        <v>6</v>
      </c>
      <c r="F74" s="4" t="s">
        <v>10</v>
      </c>
      <c r="G74" s="5">
        <v>48000</v>
      </c>
      <c r="H74" s="5">
        <f t="shared" si="3"/>
        <v>288000</v>
      </c>
    </row>
    <row r="75" spans="2:8" x14ac:dyDescent="0.35">
      <c r="B75" t="s">
        <v>145</v>
      </c>
      <c r="C75" s="2">
        <v>2</v>
      </c>
      <c r="D75" s="5" t="s">
        <v>17</v>
      </c>
      <c r="E75" s="4">
        <v>3</v>
      </c>
      <c r="F75" s="4" t="s">
        <v>10</v>
      </c>
      <c r="G75" s="5">
        <v>48000</v>
      </c>
      <c r="H75" s="5">
        <f t="shared" si="3"/>
        <v>144000</v>
      </c>
    </row>
    <row r="76" spans="2:8" x14ac:dyDescent="0.35">
      <c r="B76" t="s">
        <v>145</v>
      </c>
      <c r="C76" s="2">
        <v>3</v>
      </c>
      <c r="D76" s="5" t="s">
        <v>62</v>
      </c>
      <c r="E76" s="4">
        <v>1</v>
      </c>
      <c r="F76" s="4" t="s">
        <v>10</v>
      </c>
      <c r="G76" s="5">
        <v>55000</v>
      </c>
      <c r="H76" s="5">
        <f t="shared" si="3"/>
        <v>55000</v>
      </c>
    </row>
    <row r="77" spans="2:8" x14ac:dyDescent="0.35">
      <c r="B77" t="s">
        <v>145</v>
      </c>
      <c r="C77" s="2">
        <v>4</v>
      </c>
      <c r="D77" s="5" t="s">
        <v>107</v>
      </c>
      <c r="E77" s="4">
        <v>10</v>
      </c>
      <c r="F77" s="4" t="s">
        <v>10</v>
      </c>
      <c r="G77" s="5">
        <v>33000</v>
      </c>
      <c r="H77" s="5">
        <f t="shared" si="3"/>
        <v>330000</v>
      </c>
    </row>
    <row r="78" spans="2:8" x14ac:dyDescent="0.35">
      <c r="B78" t="s">
        <v>145</v>
      </c>
      <c r="C78" s="2">
        <v>5</v>
      </c>
      <c r="D78" s="5" t="s">
        <v>108</v>
      </c>
      <c r="E78" s="4">
        <v>35</v>
      </c>
      <c r="F78" s="4" t="s">
        <v>10</v>
      </c>
      <c r="G78" s="5">
        <v>20000</v>
      </c>
      <c r="H78" s="5">
        <f t="shared" si="3"/>
        <v>700000</v>
      </c>
    </row>
    <row r="79" spans="2:8" x14ac:dyDescent="0.35">
      <c r="B79" t="s">
        <v>13</v>
      </c>
      <c r="C79" s="2">
        <v>6</v>
      </c>
      <c r="D79" s="5" t="s">
        <v>55</v>
      </c>
      <c r="E79" s="4">
        <v>1</v>
      </c>
      <c r="F79" s="4" t="s">
        <v>10</v>
      </c>
      <c r="G79" s="5">
        <v>15000</v>
      </c>
      <c r="H79" s="5">
        <f t="shared" si="3"/>
        <v>15000</v>
      </c>
    </row>
    <row r="80" spans="2:8" x14ac:dyDescent="0.35">
      <c r="B80" t="s">
        <v>13</v>
      </c>
      <c r="C80" s="2">
        <v>7</v>
      </c>
      <c r="D80" s="5" t="s">
        <v>110</v>
      </c>
      <c r="E80" s="4">
        <v>1</v>
      </c>
      <c r="F80" s="4" t="s">
        <v>10</v>
      </c>
      <c r="G80" s="5">
        <v>40000</v>
      </c>
      <c r="H80" s="5">
        <f t="shared" si="3"/>
        <v>40000</v>
      </c>
    </row>
    <row r="81" spans="2:8" x14ac:dyDescent="0.35">
      <c r="B81" t="s">
        <v>13</v>
      </c>
      <c r="C81" s="2">
        <v>8</v>
      </c>
      <c r="D81" s="5" t="s">
        <v>82</v>
      </c>
      <c r="E81" s="4">
        <v>0.5</v>
      </c>
      <c r="F81" s="4" t="s">
        <v>10</v>
      </c>
      <c r="G81" s="5">
        <v>40000</v>
      </c>
      <c r="H81" s="5">
        <f t="shared" si="3"/>
        <v>20000</v>
      </c>
    </row>
    <row r="82" spans="2:8" x14ac:dyDescent="0.35">
      <c r="C82" s="12"/>
      <c r="D82" s="14" t="s">
        <v>111</v>
      </c>
      <c r="E82" s="9"/>
      <c r="F82" s="9"/>
      <c r="G82" s="15"/>
      <c r="H82" s="5">
        <f t="shared" si="3"/>
        <v>0</v>
      </c>
    </row>
    <row r="83" spans="2:8" x14ac:dyDescent="0.35">
      <c r="B83" t="s">
        <v>13</v>
      </c>
      <c r="C83" s="4">
        <v>9</v>
      </c>
      <c r="D83" s="3" t="s">
        <v>33</v>
      </c>
      <c r="E83" s="4">
        <v>1</v>
      </c>
      <c r="F83" s="4" t="s">
        <v>10</v>
      </c>
      <c r="G83" s="5">
        <v>11000</v>
      </c>
      <c r="H83" s="5">
        <f t="shared" si="3"/>
        <v>11000</v>
      </c>
    </row>
    <row r="84" spans="2:8" x14ac:dyDescent="0.35">
      <c r="C84" s="9"/>
      <c r="D84" s="14" t="s">
        <v>113</v>
      </c>
      <c r="E84" s="9"/>
      <c r="F84" s="9"/>
      <c r="G84" s="15"/>
      <c r="H84" s="5">
        <f t="shared" si="3"/>
        <v>0</v>
      </c>
    </row>
    <row r="85" spans="2:8" x14ac:dyDescent="0.35">
      <c r="B85" t="s">
        <v>13</v>
      </c>
      <c r="C85" s="4">
        <v>10</v>
      </c>
      <c r="D85" s="5" t="s">
        <v>114</v>
      </c>
      <c r="E85" s="4">
        <v>155</v>
      </c>
      <c r="F85" s="4" t="s">
        <v>10</v>
      </c>
      <c r="G85" s="31">
        <v>15000</v>
      </c>
      <c r="H85" s="5">
        <f t="shared" si="3"/>
        <v>2325000</v>
      </c>
    </row>
    <row r="86" spans="2:8" x14ac:dyDescent="0.35">
      <c r="B86" t="s">
        <v>13</v>
      </c>
      <c r="C86" s="4">
        <v>11</v>
      </c>
      <c r="D86" s="5" t="s">
        <v>17</v>
      </c>
      <c r="E86" s="4">
        <v>1</v>
      </c>
      <c r="F86" s="4" t="s">
        <v>10</v>
      </c>
      <c r="G86" s="5">
        <v>48000</v>
      </c>
      <c r="H86" s="5">
        <f t="shared" si="3"/>
        <v>48000</v>
      </c>
    </row>
    <row r="87" spans="2:8" x14ac:dyDescent="0.35">
      <c r="B87" t="s">
        <v>13</v>
      </c>
      <c r="C87" s="4">
        <v>12</v>
      </c>
      <c r="D87" s="5" t="s">
        <v>16</v>
      </c>
      <c r="E87" s="4">
        <v>1.5</v>
      </c>
      <c r="F87" s="4" t="s">
        <v>10</v>
      </c>
      <c r="G87" s="5">
        <v>48000</v>
      </c>
      <c r="H87" s="5">
        <f t="shared" si="3"/>
        <v>72000</v>
      </c>
    </row>
    <row r="88" spans="2:8" ht="15" thickBot="1" x14ac:dyDescent="0.4">
      <c r="H88" s="119">
        <f>SUM(H74:H87)</f>
        <v>4048000</v>
      </c>
    </row>
    <row r="89" spans="2:8" ht="15" thickTop="1" x14ac:dyDescent="0.35"/>
    <row r="90" spans="2:8" x14ac:dyDescent="0.35">
      <c r="C90" s="117">
        <v>46038</v>
      </c>
    </row>
    <row r="91" spans="2:8" x14ac:dyDescent="0.35">
      <c r="B91" s="19" t="s">
        <v>0</v>
      </c>
      <c r="C91" s="129" t="s">
        <v>1</v>
      </c>
      <c r="D91" s="129" t="s">
        <v>2</v>
      </c>
      <c r="E91" s="129" t="s">
        <v>3</v>
      </c>
      <c r="F91" s="129" t="s">
        <v>4</v>
      </c>
      <c r="G91" s="130" t="s">
        <v>101</v>
      </c>
      <c r="H91" s="130" t="s">
        <v>146</v>
      </c>
    </row>
    <row r="92" spans="2:8" x14ac:dyDescent="0.35">
      <c r="B92" s="5" t="s">
        <v>177</v>
      </c>
      <c r="C92" s="2">
        <v>1</v>
      </c>
      <c r="D92" s="5" t="s">
        <v>133</v>
      </c>
      <c r="E92" s="4">
        <v>2340</v>
      </c>
      <c r="F92" s="4" t="s">
        <v>134</v>
      </c>
      <c r="G92" s="5">
        <v>2200</v>
      </c>
      <c r="H92" s="5">
        <f>(G92*E92)</f>
        <v>5148000</v>
      </c>
    </row>
    <row r="93" spans="2:8" x14ac:dyDescent="0.35">
      <c r="B93" s="5"/>
      <c r="C93" s="5"/>
      <c r="D93" s="5"/>
      <c r="E93" s="5"/>
      <c r="F93" s="5"/>
      <c r="G93" s="5"/>
      <c r="H93" s="5"/>
    </row>
    <row r="94" spans="2:8" ht="15" thickBot="1" x14ac:dyDescent="0.4">
      <c r="H94" s="115">
        <f>SUM(H92)</f>
        <v>5148000</v>
      </c>
    </row>
    <row r="95" spans="2:8" ht="15" thickTop="1" x14ac:dyDescent="0.35"/>
  </sheetData>
  <mergeCells count="1"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13CE-AEEA-435A-97DA-A0B2F821CFC0}">
  <dimension ref="A2:H35"/>
  <sheetViews>
    <sheetView topLeftCell="A27" workbookViewId="0">
      <selection activeCell="G38" sqref="G38"/>
    </sheetView>
  </sheetViews>
  <sheetFormatPr defaultRowHeight="14.5" x14ac:dyDescent="0.35"/>
  <cols>
    <col min="1" max="1" width="10.08984375" bestFit="1" customWidth="1"/>
    <col min="3" max="3" width="10.08984375" bestFit="1" customWidth="1"/>
    <col min="4" max="4" width="27.26953125" bestFit="1" customWidth="1"/>
    <col min="8" max="8" width="12.453125" bestFit="1" customWidth="1"/>
  </cols>
  <sheetData>
    <row r="2" spans="1:8" x14ac:dyDescent="0.35">
      <c r="B2" s="149" t="s">
        <v>181</v>
      </c>
      <c r="C2" s="149"/>
      <c r="D2" s="149"/>
      <c r="E2" s="149"/>
      <c r="F2" s="149"/>
      <c r="G2" s="149"/>
      <c r="H2" s="149"/>
    </row>
    <row r="3" spans="1:8" x14ac:dyDescent="0.35">
      <c r="C3" s="117">
        <v>46036</v>
      </c>
    </row>
    <row r="4" spans="1:8" x14ac:dyDescent="0.35">
      <c r="B4" s="1" t="s">
        <v>0</v>
      </c>
      <c r="C4" s="46" t="s">
        <v>1</v>
      </c>
      <c r="D4" s="46" t="s">
        <v>2</v>
      </c>
      <c r="E4" s="46" t="s">
        <v>3</v>
      </c>
      <c r="F4" s="85" t="s">
        <v>4</v>
      </c>
      <c r="G4" s="61" t="s">
        <v>101</v>
      </c>
      <c r="H4" s="61" t="s">
        <v>146</v>
      </c>
    </row>
    <row r="5" spans="1:8" x14ac:dyDescent="0.35">
      <c r="B5" s="6"/>
      <c r="C5" s="51"/>
      <c r="D5" s="52" t="s">
        <v>81</v>
      </c>
      <c r="E5" s="53"/>
      <c r="F5" s="53"/>
      <c r="G5" s="54"/>
      <c r="H5" s="47">
        <f t="shared" ref="H5:H6" si="0">(G5*E5)</f>
        <v>0</v>
      </c>
    </row>
    <row r="6" spans="1:8" ht="18.5" x14ac:dyDescent="0.45">
      <c r="B6" s="5" t="s">
        <v>104</v>
      </c>
      <c r="C6" s="39">
        <v>1</v>
      </c>
      <c r="D6" s="44" t="s">
        <v>95</v>
      </c>
      <c r="E6" s="40">
        <v>238</v>
      </c>
      <c r="F6" s="40" t="s">
        <v>79</v>
      </c>
      <c r="G6" s="47">
        <v>44000</v>
      </c>
      <c r="H6" s="134">
        <f t="shared" si="0"/>
        <v>10472000</v>
      </c>
    </row>
    <row r="9" spans="1:8" x14ac:dyDescent="0.35">
      <c r="B9" s="149" t="s">
        <v>182</v>
      </c>
      <c r="C9" s="149"/>
      <c r="D9" s="149"/>
      <c r="E9" s="149"/>
      <c r="F9" s="149"/>
      <c r="G9" s="149"/>
      <c r="H9" s="149"/>
    </row>
    <row r="10" spans="1:8" x14ac:dyDescent="0.35">
      <c r="B10" s="1" t="s">
        <v>0</v>
      </c>
      <c r="C10" s="26" t="s">
        <v>1</v>
      </c>
      <c r="D10" s="26" t="s">
        <v>2</v>
      </c>
      <c r="E10" s="26" t="s">
        <v>3</v>
      </c>
      <c r="F10" s="26" t="s">
        <v>4</v>
      </c>
      <c r="G10" s="26" t="s">
        <v>46</v>
      </c>
      <c r="H10" s="26" t="s">
        <v>135</v>
      </c>
    </row>
    <row r="11" spans="1:8" x14ac:dyDescent="0.35">
      <c r="B11" s="6"/>
      <c r="C11" s="12"/>
      <c r="D11" s="8" t="s">
        <v>29</v>
      </c>
      <c r="E11" s="9"/>
      <c r="F11" s="9"/>
      <c r="G11" s="9"/>
      <c r="H11" s="21">
        <f t="shared" ref="H11:H15" si="1">(G11*E11)</f>
        <v>0</v>
      </c>
    </row>
    <row r="12" spans="1:8" ht="18.5" x14ac:dyDescent="0.45">
      <c r="A12" s="114">
        <v>42381</v>
      </c>
      <c r="B12" t="s">
        <v>30</v>
      </c>
      <c r="C12" s="11">
        <v>1</v>
      </c>
      <c r="D12" s="3" t="s">
        <v>31</v>
      </c>
      <c r="E12" s="10">
        <v>297</v>
      </c>
      <c r="F12" s="10" t="s">
        <v>32</v>
      </c>
      <c r="G12" s="10">
        <v>2000</v>
      </c>
      <c r="H12" s="135">
        <f t="shared" si="1"/>
        <v>594000</v>
      </c>
    </row>
    <row r="13" spans="1:8" x14ac:dyDescent="0.35">
      <c r="A13" s="136">
        <v>46035</v>
      </c>
      <c r="B13" t="s">
        <v>30</v>
      </c>
      <c r="C13" s="11">
        <v>2</v>
      </c>
      <c r="D13" s="3" t="s">
        <v>70</v>
      </c>
      <c r="E13" s="10">
        <v>16.5</v>
      </c>
      <c r="F13" s="10" t="s">
        <v>32</v>
      </c>
      <c r="G13" s="21">
        <v>50000</v>
      </c>
      <c r="H13" s="21">
        <f t="shared" si="1"/>
        <v>825000</v>
      </c>
    </row>
    <row r="14" spans="1:8" x14ac:dyDescent="0.35">
      <c r="A14" s="114">
        <v>46036</v>
      </c>
      <c r="B14" t="s">
        <v>30</v>
      </c>
      <c r="C14" s="11">
        <v>3</v>
      </c>
      <c r="D14" s="44" t="s">
        <v>31</v>
      </c>
      <c r="E14" s="41">
        <v>300</v>
      </c>
      <c r="F14" s="41" t="s">
        <v>32</v>
      </c>
      <c r="G14" s="44">
        <v>2000</v>
      </c>
      <c r="H14" s="47">
        <f t="shared" si="1"/>
        <v>600000</v>
      </c>
    </row>
    <row r="15" spans="1:8" x14ac:dyDescent="0.35">
      <c r="A15" s="114">
        <v>46037</v>
      </c>
      <c r="B15" t="s">
        <v>30</v>
      </c>
      <c r="C15" s="11">
        <v>4</v>
      </c>
      <c r="D15" s="3" t="s">
        <v>112</v>
      </c>
      <c r="E15" s="10">
        <v>17</v>
      </c>
      <c r="F15" s="10" t="s">
        <v>32</v>
      </c>
      <c r="G15" s="5">
        <v>50000</v>
      </c>
      <c r="H15" s="5">
        <f t="shared" si="1"/>
        <v>850000</v>
      </c>
    </row>
    <row r="16" spans="1:8" ht="15" thickBot="1" x14ac:dyDescent="0.4">
      <c r="H16" s="116">
        <f>SUM(H12:H15)</f>
        <v>2869000</v>
      </c>
    </row>
    <row r="17" spans="1:8" ht="15" thickTop="1" x14ac:dyDescent="0.35"/>
    <row r="18" spans="1:8" x14ac:dyDescent="0.35">
      <c r="B18" s="149" t="s">
        <v>183</v>
      </c>
      <c r="C18" s="149"/>
      <c r="D18" s="149"/>
      <c r="E18" s="149"/>
      <c r="F18" s="149"/>
      <c r="G18" s="149"/>
      <c r="H18" s="149"/>
    </row>
    <row r="19" spans="1:8" x14ac:dyDescent="0.35">
      <c r="B19" s="1" t="s">
        <v>0</v>
      </c>
      <c r="C19" s="26" t="s">
        <v>1</v>
      </c>
      <c r="D19" s="26" t="s">
        <v>2</v>
      </c>
      <c r="E19" s="26" t="s">
        <v>3</v>
      </c>
      <c r="F19" s="26" t="s">
        <v>4</v>
      </c>
      <c r="G19" s="26" t="s">
        <v>46</v>
      </c>
      <c r="H19" s="26" t="s">
        <v>135</v>
      </c>
    </row>
    <row r="20" spans="1:8" x14ac:dyDescent="0.35">
      <c r="A20" s="114">
        <v>42381</v>
      </c>
      <c r="B20" t="s">
        <v>128</v>
      </c>
      <c r="C20" s="4">
        <v>1</v>
      </c>
      <c r="D20" s="5" t="s">
        <v>77</v>
      </c>
      <c r="E20" s="4">
        <v>160</v>
      </c>
      <c r="F20" s="4" t="s">
        <v>10</v>
      </c>
      <c r="G20" s="4">
        <v>16500</v>
      </c>
      <c r="H20" s="31">
        <f t="shared" ref="H20:H33" si="2">(G20*E20)</f>
        <v>2640000</v>
      </c>
    </row>
    <row r="21" spans="1:8" x14ac:dyDescent="0.35">
      <c r="B21" t="s">
        <v>128</v>
      </c>
      <c r="C21" s="4">
        <v>2</v>
      </c>
      <c r="D21" s="5" t="s">
        <v>129</v>
      </c>
      <c r="E21" s="4">
        <v>1</v>
      </c>
      <c r="F21" s="4" t="s">
        <v>90</v>
      </c>
      <c r="G21" s="4">
        <v>54000</v>
      </c>
      <c r="H21" s="31">
        <f t="shared" si="2"/>
        <v>54000</v>
      </c>
    </row>
    <row r="22" spans="1:8" x14ac:dyDescent="0.35">
      <c r="B22" t="s">
        <v>128</v>
      </c>
      <c r="C22" s="4">
        <v>3</v>
      </c>
      <c r="D22" s="5" t="s">
        <v>130</v>
      </c>
      <c r="E22" s="4">
        <v>3</v>
      </c>
      <c r="F22" s="4" t="s">
        <v>10</v>
      </c>
      <c r="G22" s="4">
        <v>10000</v>
      </c>
      <c r="H22" s="31">
        <f t="shared" si="2"/>
        <v>30000</v>
      </c>
    </row>
    <row r="23" spans="1:8" x14ac:dyDescent="0.35">
      <c r="B23" t="s">
        <v>128</v>
      </c>
      <c r="C23" s="4">
        <v>4</v>
      </c>
      <c r="D23" s="5" t="s">
        <v>23</v>
      </c>
      <c r="E23" s="4">
        <v>1</v>
      </c>
      <c r="F23" s="4" t="s">
        <v>10</v>
      </c>
      <c r="G23" s="4">
        <v>7000</v>
      </c>
      <c r="H23" s="31">
        <f t="shared" si="2"/>
        <v>7000</v>
      </c>
    </row>
    <row r="24" spans="1:8" x14ac:dyDescent="0.35">
      <c r="B24" t="s">
        <v>128</v>
      </c>
      <c r="C24" s="4">
        <v>5</v>
      </c>
      <c r="D24" s="5" t="s">
        <v>131</v>
      </c>
      <c r="E24" s="4">
        <v>1</v>
      </c>
      <c r="F24" s="4" t="s">
        <v>10</v>
      </c>
      <c r="G24" s="4">
        <v>18000</v>
      </c>
      <c r="H24" s="137">
        <f t="shared" si="2"/>
        <v>18000</v>
      </c>
    </row>
    <row r="25" spans="1:8" x14ac:dyDescent="0.35">
      <c r="A25" s="114">
        <v>46035</v>
      </c>
      <c r="B25" t="s">
        <v>128</v>
      </c>
      <c r="C25" s="4">
        <v>6</v>
      </c>
      <c r="D25" s="5" t="s">
        <v>76</v>
      </c>
      <c r="E25" s="4">
        <v>170</v>
      </c>
      <c r="F25" s="4" t="s">
        <v>79</v>
      </c>
      <c r="G25" s="5">
        <v>15000</v>
      </c>
      <c r="H25" s="31">
        <f t="shared" si="2"/>
        <v>2550000</v>
      </c>
    </row>
    <row r="26" spans="1:8" x14ac:dyDescent="0.35">
      <c r="B26" t="s">
        <v>128</v>
      </c>
      <c r="C26" s="4">
        <v>7</v>
      </c>
      <c r="D26" s="5" t="s">
        <v>59</v>
      </c>
      <c r="E26" s="4">
        <v>2</v>
      </c>
      <c r="F26" s="4" t="s">
        <v>121</v>
      </c>
      <c r="G26" s="4">
        <v>58000</v>
      </c>
      <c r="H26" s="31">
        <f t="shared" si="2"/>
        <v>116000</v>
      </c>
    </row>
    <row r="27" spans="1:8" x14ac:dyDescent="0.35">
      <c r="B27" t="s">
        <v>128</v>
      </c>
      <c r="C27" s="4">
        <v>8</v>
      </c>
      <c r="D27" s="5" t="s">
        <v>122</v>
      </c>
      <c r="E27" s="4">
        <v>0.5</v>
      </c>
      <c r="F27" s="4" t="s">
        <v>123</v>
      </c>
      <c r="G27" s="4">
        <v>10000</v>
      </c>
      <c r="H27" s="31">
        <f t="shared" si="2"/>
        <v>5000</v>
      </c>
    </row>
    <row r="28" spans="1:8" x14ac:dyDescent="0.35">
      <c r="B28" t="s">
        <v>128</v>
      </c>
      <c r="C28" s="4">
        <v>9</v>
      </c>
      <c r="D28" s="5" t="s">
        <v>124</v>
      </c>
      <c r="E28" s="4">
        <v>10</v>
      </c>
      <c r="F28" s="4" t="s">
        <v>125</v>
      </c>
      <c r="G28" s="4">
        <v>2000</v>
      </c>
      <c r="H28" s="31">
        <f t="shared" si="2"/>
        <v>20000</v>
      </c>
    </row>
    <row r="29" spans="1:8" x14ac:dyDescent="0.35">
      <c r="B29" t="s">
        <v>128</v>
      </c>
      <c r="C29" s="4">
        <v>10</v>
      </c>
      <c r="D29" s="5" t="s">
        <v>126</v>
      </c>
      <c r="E29" s="4">
        <v>6</v>
      </c>
      <c r="F29" s="4" t="s">
        <v>127</v>
      </c>
      <c r="G29" s="4">
        <v>1000</v>
      </c>
      <c r="H29" s="31">
        <f t="shared" si="2"/>
        <v>6000</v>
      </c>
    </row>
    <row r="30" spans="1:8" x14ac:dyDescent="0.35">
      <c r="A30" s="114">
        <v>46036</v>
      </c>
      <c r="B30" t="s">
        <v>128</v>
      </c>
      <c r="C30" s="4">
        <v>11</v>
      </c>
      <c r="D30" s="44" t="s">
        <v>100</v>
      </c>
      <c r="E30" s="40">
        <v>155</v>
      </c>
      <c r="F30" s="40" t="s">
        <v>10</v>
      </c>
      <c r="G30" s="31">
        <v>15000</v>
      </c>
      <c r="H30" s="76">
        <f t="shared" si="2"/>
        <v>2325000</v>
      </c>
    </row>
    <row r="31" spans="1:8" x14ac:dyDescent="0.35">
      <c r="A31" s="114">
        <v>46037</v>
      </c>
      <c r="B31" t="s">
        <v>128</v>
      </c>
      <c r="C31" s="4">
        <v>12</v>
      </c>
      <c r="D31" s="5" t="s">
        <v>115</v>
      </c>
      <c r="E31" s="4">
        <v>130</v>
      </c>
      <c r="F31" s="4" t="s">
        <v>10</v>
      </c>
      <c r="G31" s="5">
        <v>14500</v>
      </c>
      <c r="H31" s="5">
        <f t="shared" si="2"/>
        <v>1885000</v>
      </c>
    </row>
    <row r="32" spans="1:8" x14ac:dyDescent="0.35">
      <c r="A32" s="114">
        <v>46038</v>
      </c>
      <c r="B32" t="s">
        <v>128</v>
      </c>
      <c r="C32" s="4">
        <v>13</v>
      </c>
      <c r="D32" s="5" t="s">
        <v>120</v>
      </c>
      <c r="E32" s="21">
        <v>59</v>
      </c>
      <c r="F32" s="4" t="s">
        <v>119</v>
      </c>
      <c r="G32" s="5">
        <v>142000</v>
      </c>
      <c r="H32" s="5">
        <f t="shared" si="2"/>
        <v>8378000</v>
      </c>
    </row>
    <row r="33" spans="2:8" x14ac:dyDescent="0.35">
      <c r="B33" t="s">
        <v>128</v>
      </c>
      <c r="C33" s="4">
        <v>14</v>
      </c>
      <c r="D33" s="5" t="s">
        <v>117</v>
      </c>
      <c r="E33" s="4">
        <v>149</v>
      </c>
      <c r="F33" s="4" t="s">
        <v>118</v>
      </c>
      <c r="G33" s="5">
        <v>16500</v>
      </c>
      <c r="H33" s="5">
        <f t="shared" si="2"/>
        <v>2458500</v>
      </c>
    </row>
    <row r="34" spans="2:8" ht="15" thickBot="1" x14ac:dyDescent="0.4">
      <c r="H34" s="116">
        <f>SUM(H20:H33)</f>
        <v>20492500</v>
      </c>
    </row>
    <row r="35" spans="2:8" ht="15" thickTop="1" x14ac:dyDescent="0.35"/>
  </sheetData>
  <mergeCells count="3">
    <mergeCell ref="B18:H18"/>
    <mergeCell ref="B2:H2"/>
    <mergeCell ref="B9:H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49CC-CE85-4DF5-98B1-5494D0CE29B8}">
  <dimension ref="B1:D9"/>
  <sheetViews>
    <sheetView workbookViewId="0">
      <selection activeCell="B10" sqref="B10"/>
    </sheetView>
  </sheetViews>
  <sheetFormatPr defaultRowHeight="14.5" x14ac:dyDescent="0.35"/>
  <cols>
    <col min="2" max="2" width="12.6328125" bestFit="1" customWidth="1"/>
  </cols>
  <sheetData>
    <row r="1" spans="2:4" ht="15" thickBot="1" x14ac:dyDescent="0.4"/>
    <row r="2" spans="2:4" x14ac:dyDescent="0.35">
      <c r="B2" s="138" t="s">
        <v>184</v>
      </c>
      <c r="C2" s="139"/>
      <c r="D2" s="140"/>
    </row>
    <row r="3" spans="2:4" x14ac:dyDescent="0.35">
      <c r="B3" s="141">
        <v>45141000</v>
      </c>
      <c r="C3" s="5"/>
      <c r="D3" s="142"/>
    </row>
    <row r="4" spans="2:4" x14ac:dyDescent="0.35">
      <c r="B4" s="141">
        <v>19522500</v>
      </c>
      <c r="C4" s="5"/>
      <c r="D4" s="142"/>
    </row>
    <row r="5" spans="2:4" x14ac:dyDescent="0.35">
      <c r="B5" s="141">
        <v>10472000</v>
      </c>
      <c r="C5" s="5"/>
      <c r="D5" s="142"/>
    </row>
    <row r="6" spans="2:4" x14ac:dyDescent="0.35">
      <c r="B6" s="141">
        <v>2869000</v>
      </c>
      <c r="C6" s="5"/>
      <c r="D6" s="142"/>
    </row>
    <row r="7" spans="2:4" ht="15" thickBot="1" x14ac:dyDescent="0.4">
      <c r="B7" s="143">
        <v>20492500</v>
      </c>
      <c r="C7" s="144"/>
      <c r="D7" s="145"/>
    </row>
    <row r="8" spans="2:4" ht="21.5" thickBot="1" x14ac:dyDescent="0.55000000000000004">
      <c r="B8" s="146">
        <f>SUM(B3:B7)</f>
        <v>98497000</v>
      </c>
    </row>
    <row r="9" spans="2:4" ht="15" thickTop="1" x14ac:dyDescent="0.3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875F-D3C5-4F05-B845-B0A46B8F8294}">
  <dimension ref="B2:I17"/>
  <sheetViews>
    <sheetView tabSelected="1" zoomScale="72" zoomScaleNormal="72" workbookViewId="0">
      <selection activeCell="F19" sqref="F19"/>
    </sheetView>
  </sheetViews>
  <sheetFormatPr defaultRowHeight="14.5" x14ac:dyDescent="0.35"/>
  <cols>
    <col min="2" max="2" width="10.08984375" bestFit="1" customWidth="1"/>
    <col min="3" max="3" width="19.453125" customWidth="1"/>
    <col min="5" max="5" width="17.81640625" customWidth="1"/>
    <col min="6" max="6" width="19.36328125" customWidth="1"/>
    <col min="8" max="8" width="18.08984375" customWidth="1"/>
    <col min="9" max="9" width="29.1796875" customWidth="1"/>
  </cols>
  <sheetData>
    <row r="2" spans="2:9" x14ac:dyDescent="0.35">
      <c r="B2" s="6" t="s">
        <v>168</v>
      </c>
      <c r="C2" s="6"/>
      <c r="E2" s="6" t="s">
        <v>169</v>
      </c>
      <c r="F2" s="6"/>
      <c r="H2" s="6" t="s">
        <v>170</v>
      </c>
      <c r="I2" s="6"/>
    </row>
    <row r="3" spans="2:9" x14ac:dyDescent="0.35">
      <c r="B3" s="99">
        <v>46034</v>
      </c>
      <c r="C3" s="31">
        <v>21956730</v>
      </c>
      <c r="E3" s="99">
        <v>46034</v>
      </c>
      <c r="F3" s="5">
        <v>20630000</v>
      </c>
      <c r="H3" s="99">
        <v>46034</v>
      </c>
      <c r="I3" s="31">
        <v>1326730</v>
      </c>
    </row>
    <row r="4" spans="2:9" x14ac:dyDescent="0.35">
      <c r="B4" s="99">
        <v>46035</v>
      </c>
      <c r="C4" s="31">
        <v>15935455</v>
      </c>
      <c r="E4" s="99">
        <v>46035</v>
      </c>
      <c r="F4" s="31">
        <v>15299500</v>
      </c>
      <c r="H4" s="99">
        <v>46035</v>
      </c>
      <c r="I4" s="31">
        <v>635955</v>
      </c>
    </row>
    <row r="5" spans="2:9" x14ac:dyDescent="0.35">
      <c r="B5" s="99">
        <v>46036</v>
      </c>
      <c r="C5" s="31">
        <v>24478010</v>
      </c>
      <c r="E5" s="99">
        <v>46036</v>
      </c>
      <c r="F5" s="31">
        <v>23295000</v>
      </c>
      <c r="H5" s="99">
        <v>46036</v>
      </c>
      <c r="I5" s="31">
        <v>1183010</v>
      </c>
    </row>
    <row r="6" spans="2:9" x14ac:dyDescent="0.35">
      <c r="B6" s="99">
        <v>46037</v>
      </c>
      <c r="C6" s="31">
        <v>19687930</v>
      </c>
      <c r="E6" s="99">
        <v>46037</v>
      </c>
      <c r="F6" s="31">
        <v>18808000</v>
      </c>
      <c r="H6" s="99">
        <v>46037</v>
      </c>
      <c r="I6" s="31">
        <v>879930</v>
      </c>
    </row>
    <row r="7" spans="2:9" x14ac:dyDescent="0.35">
      <c r="B7" s="99">
        <v>46038</v>
      </c>
      <c r="C7" s="20">
        <f>21487725</f>
        <v>21487725</v>
      </c>
      <c r="E7" s="99">
        <v>46038</v>
      </c>
      <c r="F7" s="20">
        <v>20464500</v>
      </c>
      <c r="H7" s="99">
        <v>46038</v>
      </c>
      <c r="I7" s="20">
        <v>1023225</v>
      </c>
    </row>
    <row r="8" spans="2:9" ht="24" thickBot="1" x14ac:dyDescent="0.6">
      <c r="C8" s="100">
        <f>SUM(C3:C7)</f>
        <v>103545850</v>
      </c>
      <c r="F8" s="94">
        <f>SUM(F3:F7)</f>
        <v>98497000</v>
      </c>
      <c r="I8" s="93">
        <f>SUM(I3:I7)</f>
        <v>5048850</v>
      </c>
    </row>
    <row r="9" spans="2:9" ht="15" thickTop="1" x14ac:dyDescent="0.35"/>
    <row r="10" spans="2:9" ht="15" thickBot="1" x14ac:dyDescent="0.4">
      <c r="H10" s="6" t="s">
        <v>173</v>
      </c>
      <c r="I10" s="6"/>
    </row>
    <row r="11" spans="2:9" x14ac:dyDescent="0.35">
      <c r="B11" s="101" t="s">
        <v>171</v>
      </c>
      <c r="C11" s="102"/>
      <c r="D11" s="103"/>
      <c r="E11" s="110"/>
      <c r="F11" s="111">
        <v>98497000</v>
      </c>
      <c r="H11" s="99">
        <v>46034</v>
      </c>
      <c r="I11" s="31">
        <v>4200</v>
      </c>
    </row>
    <row r="12" spans="2:9" x14ac:dyDescent="0.35">
      <c r="B12" s="104" t="s">
        <v>172</v>
      </c>
      <c r="F12" s="112">
        <v>5048850</v>
      </c>
      <c r="H12" s="99">
        <v>46035</v>
      </c>
      <c r="I12" s="31">
        <v>4200</v>
      </c>
    </row>
    <row r="13" spans="2:9" ht="15" thickBot="1" x14ac:dyDescent="0.4">
      <c r="B13" s="104" t="s">
        <v>174</v>
      </c>
      <c r="F13" s="113">
        <f>SUM(F11:F12)</f>
        <v>103545850</v>
      </c>
      <c r="H13" s="99">
        <v>46036</v>
      </c>
      <c r="I13" s="31">
        <v>0</v>
      </c>
    </row>
    <row r="14" spans="2:9" x14ac:dyDescent="0.35">
      <c r="B14" s="109">
        <f>108470000-103545850</f>
        <v>4924150</v>
      </c>
      <c r="E14" s="105"/>
      <c r="F14" s="20"/>
      <c r="H14" s="99">
        <v>46037</v>
      </c>
      <c r="I14" s="31">
        <v>515000</v>
      </c>
    </row>
    <row r="15" spans="2:9" ht="15" thickBot="1" x14ac:dyDescent="0.4">
      <c r="B15" s="108"/>
      <c r="C15" s="106"/>
      <c r="D15" s="106"/>
      <c r="E15" s="107"/>
      <c r="H15" s="99">
        <v>46038</v>
      </c>
      <c r="I15" s="31">
        <v>0</v>
      </c>
    </row>
    <row r="16" spans="2:9" ht="19" thickBot="1" x14ac:dyDescent="0.5">
      <c r="I16" s="93">
        <f>SUM(I11:I15)</f>
        <v>523400</v>
      </c>
    </row>
    <row r="17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12januari</vt:lpstr>
      <vt:lpstr>13 januari</vt:lpstr>
      <vt:lpstr>14 januari</vt:lpstr>
      <vt:lpstr>15 januari</vt:lpstr>
      <vt:lpstr>16januari</vt:lpstr>
      <vt:lpstr>SUP EDIAMIT</vt:lpstr>
      <vt:lpstr>SUP PARDO</vt:lpstr>
      <vt:lpstr>SUP CAMPUR</vt:lpstr>
      <vt:lpstr>TOTAL BAYAR SUPPLIER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2026-01-10T12:27:24Z</dcterms:created>
  <dcterms:modified xsi:type="dcterms:W3CDTF">2026-01-15T03:14:36Z</dcterms:modified>
</cp:coreProperties>
</file>