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ocuments\"/>
    </mc:Choice>
  </mc:AlternateContent>
  <xr:revisionPtr revIDLastSave="0" documentId="13_ncr:1_{71C9B184-62E1-483A-AFC6-D52ADA924527}" xr6:coauthVersionLast="47" xr6:coauthVersionMax="47" xr10:uidLastSave="{00000000-0000-0000-0000-000000000000}"/>
  <bookViews>
    <workbookView xWindow="-120" yWindow="-120" windowWidth="20730" windowHeight="11160" firstSheet="4" activeTab="5" xr2:uid="{4288EF58-A8A8-4215-B833-55F6D2AA1013}"/>
  </bookViews>
  <sheets>
    <sheet name="MENU 1 KHAS DAERAH" sheetId="1" r:id="rId1"/>
    <sheet name="MENU 2" sheetId="2" r:id="rId2"/>
    <sheet name="MENU 3" sheetId="4" r:id="rId3"/>
    <sheet name="MENU 4" sheetId="5" r:id="rId4"/>
    <sheet name="MENU 5" sheetId="6" r:id="rId5"/>
    <sheet name="MENU 6" sheetId="7" r:id="rId6"/>
    <sheet name="MENU 7" sheetId="8" r:id="rId7"/>
    <sheet name="MENU 8" sheetId="9" r:id="rId8"/>
    <sheet name="MENU 9" sheetId="10" r:id="rId9"/>
    <sheet name="MENU 10" sheetId="11" r:id="rId10"/>
    <sheet name="MENU 11" sheetId="12" r:id="rId11"/>
    <sheet name="MENU 12" sheetId="13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1" l="1"/>
  <c r="I28" i="11"/>
  <c r="H28" i="11"/>
  <c r="G28" i="11"/>
  <c r="F28" i="11"/>
  <c r="J16" i="11"/>
  <c r="I16" i="11"/>
  <c r="H16" i="11"/>
  <c r="G16" i="11"/>
  <c r="F16" i="11"/>
  <c r="K25" i="10"/>
  <c r="J25" i="10"/>
  <c r="I25" i="10"/>
  <c r="H25" i="10"/>
  <c r="G25" i="10"/>
  <c r="K15" i="10"/>
  <c r="J15" i="10"/>
  <c r="I15" i="10"/>
  <c r="H15" i="10"/>
  <c r="G15" i="10"/>
  <c r="J25" i="9"/>
  <c r="I25" i="9"/>
  <c r="H25" i="9"/>
  <c r="G25" i="9"/>
  <c r="F25" i="9"/>
  <c r="J15" i="9"/>
  <c r="I15" i="9"/>
  <c r="H15" i="9"/>
  <c r="G15" i="9"/>
  <c r="F15" i="9"/>
</calcChain>
</file>

<file path=xl/sharedStrings.xml><?xml version="1.0" encoding="utf-8"?>
<sst xmlns="http://schemas.openxmlformats.org/spreadsheetml/2006/main" count="1278" uniqueCount="246">
  <si>
    <t>SIKLUS MENU 12 HARI JANUARI 2026</t>
  </si>
  <si>
    <t xml:space="preserve"> untuk PM=1710</t>
  </si>
  <si>
    <t>HARI 1</t>
  </si>
  <si>
    <t xml:space="preserve">Telur </t>
  </si>
  <si>
    <t>Nasi Putih</t>
  </si>
  <si>
    <t>Tempe Crispy</t>
  </si>
  <si>
    <t>Tumis Pakcoy Bawang Putih</t>
  </si>
  <si>
    <t>Buah Pisang</t>
  </si>
  <si>
    <t>NO</t>
  </si>
  <si>
    <t>URAIAN</t>
  </si>
  <si>
    <t>QTY</t>
  </si>
  <si>
    <t>SATUAN</t>
  </si>
  <si>
    <t>Porsi Kecil (TK,PAUD,SD KELAS 1-3)</t>
  </si>
  <si>
    <r>
      <t xml:space="preserve">                            </t>
    </r>
    <r>
      <rPr>
        <b/>
        <sz val="11"/>
        <color rgb="FFFF0000"/>
        <rFont val="Times New Roman"/>
        <family val="1"/>
      </rPr>
      <t xml:space="preserve"> NILAI GIZI </t>
    </r>
  </si>
  <si>
    <t>Bahan Makanan</t>
  </si>
  <si>
    <t>Berat (gr)</t>
  </si>
  <si>
    <t>Energi (kkal)</t>
  </si>
  <si>
    <t>Protein (gr)</t>
  </si>
  <si>
    <t>Lemak (gr)</t>
  </si>
  <si>
    <t>Karbohidrat (gr)</t>
  </si>
  <si>
    <t>Minyak</t>
  </si>
  <si>
    <t>Total</t>
  </si>
  <si>
    <t>Serat</t>
  </si>
  <si>
    <t>Serat  (gr)</t>
  </si>
  <si>
    <t>Porsi Besar (Sd Kelas 4-6, SMP,SMA)</t>
  </si>
  <si>
    <t xml:space="preserve">             (gr)</t>
  </si>
  <si>
    <r>
      <t xml:space="preserve">                            </t>
    </r>
    <r>
      <rPr>
        <b/>
        <sz val="11"/>
        <color rgb="FFFF0000"/>
        <rFont val="Times New Roman"/>
        <family val="1"/>
      </rPr>
      <t xml:space="preserve"> BAHAN MAKANAN</t>
    </r>
  </si>
  <si>
    <t>HARI 2</t>
  </si>
  <si>
    <t>Nasi Daun Jeruk</t>
  </si>
  <si>
    <t>Telur Ceplok Pedas Manis</t>
  </si>
  <si>
    <t xml:space="preserve">Tumis Kangkung </t>
  </si>
  <si>
    <t>Buah Jeruk</t>
  </si>
  <si>
    <t xml:space="preserve">Ayam </t>
  </si>
  <si>
    <t xml:space="preserve">Tempe </t>
  </si>
  <si>
    <t>HARI 3</t>
  </si>
  <si>
    <t>Nasi Goreng</t>
  </si>
  <si>
    <t>Nasi Kuning</t>
  </si>
  <si>
    <t xml:space="preserve">Abon Ayam </t>
  </si>
  <si>
    <t>Tempe Orek Kecap</t>
  </si>
  <si>
    <t>Buah Semangka</t>
  </si>
  <si>
    <t>Timun</t>
  </si>
  <si>
    <t>HARI 4</t>
  </si>
  <si>
    <t>Tomat</t>
  </si>
  <si>
    <t>Buah Salak</t>
  </si>
  <si>
    <t>Mix Vegetable</t>
  </si>
  <si>
    <t>Wortel</t>
  </si>
  <si>
    <t>Buncis</t>
  </si>
  <si>
    <t>Jagung</t>
  </si>
  <si>
    <t xml:space="preserve">Nasi </t>
  </si>
  <si>
    <t>Timun+Tomat</t>
  </si>
  <si>
    <t>Ikan Nila Asam Manis</t>
  </si>
  <si>
    <t>Tempe Krispy</t>
  </si>
  <si>
    <t>Tumis Sawi Putih</t>
  </si>
  <si>
    <t>Buah Duku</t>
  </si>
  <si>
    <t>HARI 5</t>
  </si>
  <si>
    <t>Tahu Krispy</t>
  </si>
  <si>
    <t>HARI 6</t>
  </si>
  <si>
    <t>Roti</t>
  </si>
  <si>
    <t>Telur Rebus</t>
  </si>
  <si>
    <t>pisang</t>
  </si>
  <si>
    <t xml:space="preserve">Susu Uht </t>
  </si>
  <si>
    <t>HARI 7</t>
  </si>
  <si>
    <t>Kentang</t>
  </si>
  <si>
    <t>Chiken Steak</t>
  </si>
  <si>
    <t>Potato Wedges</t>
  </si>
  <si>
    <t>Duku</t>
  </si>
  <si>
    <t>Ayam</t>
  </si>
  <si>
    <t>HARI 8</t>
  </si>
  <si>
    <t>Ikan Nila Sambal Hijau</t>
  </si>
  <si>
    <t>HARI 9</t>
  </si>
  <si>
    <t>Ayam Rendang</t>
  </si>
  <si>
    <t>Tumis Labu Siam</t>
  </si>
  <si>
    <t>HARI 10</t>
  </si>
  <si>
    <t>HARI 11</t>
  </si>
  <si>
    <t>HARI 12</t>
  </si>
  <si>
    <t>Telur Ceplok Balado</t>
  </si>
  <si>
    <t>Timun + Tomat</t>
  </si>
  <si>
    <t>Tumis Tauge</t>
  </si>
  <si>
    <t>ubi kukus</t>
  </si>
  <si>
    <t>jeruk</t>
  </si>
  <si>
    <t>Beras</t>
  </si>
  <si>
    <t>Kg</t>
  </si>
  <si>
    <t>bawang merah</t>
  </si>
  <si>
    <t>garam</t>
  </si>
  <si>
    <t>lada</t>
  </si>
  <si>
    <t>saus tiram</t>
  </si>
  <si>
    <t>cabe rawit</t>
  </si>
  <si>
    <t>gula</t>
  </si>
  <si>
    <t>daun jeruk</t>
  </si>
  <si>
    <t>Tempe</t>
  </si>
  <si>
    <t>Kunyit Bubuk</t>
  </si>
  <si>
    <t>Ketumbar bubuk</t>
  </si>
  <si>
    <t>Pakcoy</t>
  </si>
  <si>
    <t>Bawang Putih</t>
  </si>
  <si>
    <t>Saus Tiram</t>
  </si>
  <si>
    <t>minyak</t>
  </si>
  <si>
    <t>tepung Maizena</t>
  </si>
  <si>
    <t>garam halus</t>
  </si>
  <si>
    <t>gula pasir</t>
  </si>
  <si>
    <t>Pisang</t>
  </si>
  <si>
    <t>kg</t>
  </si>
  <si>
    <t>ketumbar bubuk</t>
  </si>
  <si>
    <t xml:space="preserve"> Pakcoy </t>
  </si>
  <si>
    <t xml:space="preserve"> Pisang</t>
  </si>
  <si>
    <t>Nasi</t>
  </si>
  <si>
    <t xml:space="preserve">Kangkung </t>
  </si>
  <si>
    <t>Jeruk</t>
  </si>
  <si>
    <t>Daun Jeruk</t>
  </si>
  <si>
    <t>serai</t>
  </si>
  <si>
    <t>bawang putih bubuk</t>
  </si>
  <si>
    <t>Telur</t>
  </si>
  <si>
    <t>bawang ptih</t>
  </si>
  <si>
    <t>cabe merah</t>
  </si>
  <si>
    <t>daun bawang</t>
  </si>
  <si>
    <t>kecap manis</t>
  </si>
  <si>
    <t>kaldu bubuk</t>
  </si>
  <si>
    <t>Kangkung</t>
  </si>
  <si>
    <t>bawang putih</t>
  </si>
  <si>
    <t>terasi</t>
  </si>
  <si>
    <t xml:space="preserve">cabe merah </t>
  </si>
  <si>
    <t>saos tiram</t>
  </si>
  <si>
    <t>beras</t>
  </si>
  <si>
    <t>santan</t>
  </si>
  <si>
    <t>kunyit</t>
  </si>
  <si>
    <t>kunyit bubuk</t>
  </si>
  <si>
    <t>daun salam</t>
  </si>
  <si>
    <t>daun pandan</t>
  </si>
  <si>
    <t>abon ayam</t>
  </si>
  <si>
    <t>lengkuas</t>
  </si>
  <si>
    <t>timun</t>
  </si>
  <si>
    <t>tomat</t>
  </si>
  <si>
    <t>semangka</t>
  </si>
  <si>
    <t>Semangka</t>
  </si>
  <si>
    <t>jagung</t>
  </si>
  <si>
    <t>wortel</t>
  </si>
  <si>
    <t>buncis</t>
  </si>
  <si>
    <t>Ayam Goreng Lengkuas</t>
  </si>
  <si>
    <t>ayam</t>
  </si>
  <si>
    <t>jahe</t>
  </si>
  <si>
    <t>Tahu</t>
  </si>
  <si>
    <t>salak</t>
  </si>
  <si>
    <t xml:space="preserve">Tahu </t>
  </si>
  <si>
    <t>ikan nila</t>
  </si>
  <si>
    <t>bawang bombai</t>
  </si>
  <si>
    <t xml:space="preserve">bawang merah </t>
  </si>
  <si>
    <t>sawi putih</t>
  </si>
  <si>
    <t xml:space="preserve">duku </t>
  </si>
  <si>
    <t>Ikan Nila</t>
  </si>
  <si>
    <t xml:space="preserve"> Sawi Putih</t>
  </si>
  <si>
    <t xml:space="preserve"> Duku</t>
  </si>
  <si>
    <t>susu uht 115 mill</t>
  </si>
  <si>
    <t>Plastik opp</t>
  </si>
  <si>
    <t>susu uht 125 mill</t>
  </si>
  <si>
    <t>tepung terigu</t>
  </si>
  <si>
    <t>tepung maizena</t>
  </si>
  <si>
    <t>kecap asin</t>
  </si>
  <si>
    <t>mentega</t>
  </si>
  <si>
    <t>saus tomat</t>
  </si>
  <si>
    <t>lada bubuk</t>
  </si>
  <si>
    <t>kentang</t>
  </si>
  <si>
    <t>duku</t>
  </si>
  <si>
    <t>cabe hijau</t>
  </si>
  <si>
    <t xml:space="preserve">Ikan Nila </t>
  </si>
  <si>
    <t xml:space="preserve"> Jeruk</t>
  </si>
  <si>
    <t>bumbu racik rendang</t>
  </si>
  <si>
    <t>daun kunyit</t>
  </si>
  <si>
    <t xml:space="preserve">lengkuas </t>
  </si>
  <si>
    <t>santan kental</t>
  </si>
  <si>
    <t>kemiri</t>
  </si>
  <si>
    <t>Labu Siam</t>
  </si>
  <si>
    <t>tahu</t>
  </si>
  <si>
    <t>bumbu kaldu</t>
  </si>
  <si>
    <t>Orek Tahu bumbu bawang</t>
  </si>
  <si>
    <t xml:space="preserve">Timun </t>
  </si>
  <si>
    <t>ikan nila semur kuning</t>
  </si>
  <si>
    <t>Tauge</t>
  </si>
  <si>
    <t>Buah Pisamg</t>
  </si>
  <si>
    <t>Ubi cilembu</t>
  </si>
  <si>
    <t>ubi</t>
  </si>
  <si>
    <t>Susu Uht  115 mill</t>
  </si>
  <si>
    <t>Susu Uht  125  mill</t>
  </si>
  <si>
    <t>Susu Uht  125 mill</t>
  </si>
  <si>
    <t>botol</t>
  </si>
  <si>
    <t>garam kasar</t>
  </si>
  <si>
    <t>PAK</t>
  </si>
  <si>
    <t>papan</t>
  </si>
  <si>
    <t>ukuran 133 mill</t>
  </si>
  <si>
    <t>bungkus</t>
  </si>
  <si>
    <t>Masi Ada</t>
  </si>
  <si>
    <t>Renceng</t>
  </si>
  <si>
    <t>12 sachet</t>
  </si>
  <si>
    <t>Tepung Terigu</t>
  </si>
  <si>
    <t>PAPAN</t>
  </si>
  <si>
    <t>1 PAPAN ISI 30</t>
  </si>
  <si>
    <t>pcs</t>
  </si>
  <si>
    <t>ukuran 700 gram</t>
  </si>
  <si>
    <t>masih ada</t>
  </si>
  <si>
    <t>sachet</t>
  </si>
  <si>
    <t>ukuran 65 mill</t>
  </si>
  <si>
    <t>garam alus</t>
  </si>
  <si>
    <t>Botol</t>
  </si>
  <si>
    <t>1 papan 144 potong</t>
  </si>
  <si>
    <t>UKURAN I KG 3 EKOR POTONG 4</t>
  </si>
  <si>
    <t>Masih Ada</t>
  </si>
  <si>
    <t>Dus</t>
  </si>
  <si>
    <t>garam Kasar</t>
  </si>
  <si>
    <t>1 kg</t>
  </si>
  <si>
    <t>BAHAN TAHU KRISPY</t>
  </si>
  <si>
    <t>BAHAN TUMIS SAWI PUTIH</t>
  </si>
  <si>
    <t>KG</t>
  </si>
  <si>
    <t>BOTOL</t>
  </si>
  <si>
    <t xml:space="preserve">BAHAN TEMPE CRISPY </t>
  </si>
  <si>
    <t>BAHAN TUMIS PAKCOY BAWANG PUTIH</t>
  </si>
  <si>
    <t>BUAH</t>
  </si>
  <si>
    <t>BAHAN NASI DAUN JERUK</t>
  </si>
  <si>
    <t>BAHAN TELUR CEPLOK PEDAS MANIS</t>
  </si>
  <si>
    <t>BAHAN TAHU CRISPY</t>
  </si>
  <si>
    <t>BAHAN TUMIS KANGKUNG</t>
  </si>
  <si>
    <t xml:space="preserve">BAHAN NASI KUNING </t>
  </si>
  <si>
    <t>BAHAN ABON</t>
  </si>
  <si>
    <t>BAHAN TEMPE OREK KECAP</t>
  </si>
  <si>
    <t>BAHAN SAYURAN</t>
  </si>
  <si>
    <t>BAHAN NASI GORENG</t>
  </si>
  <si>
    <t>BAHAN AYAM GORENG LENGKUAS</t>
  </si>
  <si>
    <t xml:space="preserve">BAHAN MIX VEGETABLE </t>
  </si>
  <si>
    <t>BAHAN IKAN NILA ASAM MANIS</t>
  </si>
  <si>
    <t>BAHAN TEMPE KRISPY</t>
  </si>
  <si>
    <t>BAHAN CHIKEN STEAK &amp; POTATO WEDGES</t>
  </si>
  <si>
    <t>BAHAN IKAN NILA SAMBAL HIJAU</t>
  </si>
  <si>
    <t>BAHAN AYAM RENDANG</t>
  </si>
  <si>
    <t>BAHAN TUMIS LABU SIAM</t>
  </si>
  <si>
    <t xml:space="preserve">BUAH </t>
  </si>
  <si>
    <t>BAHAN TELUR CEPLOK BALADO</t>
  </si>
  <si>
    <t>BAHAN OREK TAHU BUMBU BAWANG</t>
  </si>
  <si>
    <t>BAHAN IKAN NILA SEMUR KUNING</t>
  </si>
  <si>
    <t>BAHAN TUMIS TAUGE</t>
  </si>
  <si>
    <t>Masih ada</t>
  </si>
  <si>
    <t>Ikan Nila Natinombur</t>
  </si>
  <si>
    <t>Jeruk Nipis</t>
  </si>
  <si>
    <t>Garam Kasar</t>
  </si>
  <si>
    <t>cabe rawit merah</t>
  </si>
  <si>
    <t>andaliman</t>
  </si>
  <si>
    <t>cabe rawit hijau</t>
  </si>
  <si>
    <t>Kincung/Kecombrang</t>
  </si>
  <si>
    <t>Nila</t>
  </si>
  <si>
    <t>BAHAN IKAN NILA NATINOMBUR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</si>
</sst>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i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charset val="1"/>
      <scheme val="minor"/>
    </font>
    <font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6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5" xfId="0" applyBorder="1"/>
    <xf numFmtId="0" fontId="8" fillId="0" borderId="0" xfId="0" applyFont="1" applyAlignment="1">
      <alignment vertical="center"/>
    </xf>
    <xf numFmtId="0" fontId="0" fillId="0" borderId="8" xfId="0" applyBorder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/>
    <xf numFmtId="0" fontId="11" fillId="0" borderId="0" xfId="0" applyFont="1"/>
    <xf numFmtId="0" fontId="6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5" fillId="2" borderId="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11" xfId="0" applyBorder="1"/>
    <xf numFmtId="0" fontId="3" fillId="0" borderId="11" xfId="0" applyFont="1" applyBorder="1"/>
    <xf numFmtId="0" fontId="12" fillId="0" borderId="0" xfId="0" applyFont="1"/>
    <xf numFmtId="0" fontId="13" fillId="0" borderId="0" xfId="1"/>
    <xf numFmtId="0" fontId="13" fillId="0" borderId="1" xfId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14" fillId="4" borderId="1" xfId="1" applyFont="1" applyFill="1" applyBorder="1" applyAlignment="1">
      <alignment horizontal="center"/>
    </xf>
    <xf numFmtId="0" fontId="6" fillId="4" borderId="1" xfId="0" applyFont="1" applyFill="1" applyBorder="1"/>
    <xf numFmtId="0" fontId="13" fillId="0" borderId="0" xfId="1" applyAlignment="1">
      <alignment horizontal="center"/>
    </xf>
    <xf numFmtId="0" fontId="5" fillId="3" borderId="12" xfId="0" applyFont="1" applyFill="1" applyBorder="1" applyAlignment="1">
      <alignment vertical="center" wrapText="1"/>
    </xf>
    <xf numFmtId="0" fontId="14" fillId="4" borderId="0" xfId="1" applyFont="1" applyFill="1" applyAlignment="1">
      <alignment horizontal="center"/>
    </xf>
    <xf numFmtId="0" fontId="5" fillId="3" borderId="9" xfId="0" applyFont="1" applyFill="1" applyBorder="1" applyAlignment="1">
      <alignment horizontal="center" vertical="center" wrapText="1"/>
    </xf>
    <xf numFmtId="0" fontId="13" fillId="4" borderId="1" xfId="1" applyFill="1" applyBorder="1" applyAlignment="1">
      <alignment horizontal="center"/>
    </xf>
    <xf numFmtId="0" fontId="13" fillId="4" borderId="0" xfId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9" xfId="0" applyFont="1" applyBorder="1"/>
    <xf numFmtId="0" fontId="14" fillId="0" borderId="0" xfId="1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3" fillId="0" borderId="5" xfId="1" applyBorder="1" applyAlignment="1">
      <alignment horizontal="center"/>
    </xf>
    <xf numFmtId="0" fontId="13" fillId="4" borderId="1" xfId="1" applyFill="1" applyBorder="1"/>
    <xf numFmtId="0" fontId="0" fillId="4" borderId="1" xfId="0" applyFill="1" applyBorder="1"/>
    <xf numFmtId="0" fontId="13" fillId="0" borderId="9" xfId="1" applyBorder="1" applyAlignment="1">
      <alignment horizontal="center"/>
    </xf>
    <xf numFmtId="0" fontId="13" fillId="0" borderId="8" xfId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/>
  </cellXfs>
  <cellStyles count="2">
    <cellStyle name="Normal" xfId="0" builtinId="0"/>
    <cellStyle name="Normal 2" xfId="1" xr:uid="{BBF76052-31E9-44FA-94C7-9606AE5201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7F94-214C-46AC-893F-0FA55A29340E}">
  <dimension ref="B3:P41"/>
  <sheetViews>
    <sheetView topLeftCell="A2" zoomScale="76" zoomScaleNormal="76" workbookViewId="0">
      <selection activeCell="N19" sqref="N19"/>
    </sheetView>
  </sheetViews>
  <sheetFormatPr defaultRowHeight="15" x14ac:dyDescent="0.25"/>
  <cols>
    <col min="2" max="2" width="27.7109375" customWidth="1"/>
    <col min="4" max="4" width="22.7109375" customWidth="1"/>
    <col min="9" max="9" width="12.85546875" customWidth="1"/>
    <col min="13" max="13" width="36.85546875" customWidth="1"/>
    <col min="14" max="14" width="10.85546875" customWidth="1"/>
    <col min="15" max="15" width="13" customWidth="1"/>
    <col min="16" max="16" width="32.42578125" customWidth="1"/>
  </cols>
  <sheetData>
    <row r="3" spans="2:16" x14ac:dyDescent="0.25">
      <c r="B3" s="59" t="s">
        <v>0</v>
      </c>
      <c r="C3" s="59"/>
      <c r="D3" s="59"/>
      <c r="E3" s="59"/>
      <c r="F3" s="59"/>
      <c r="G3" s="59"/>
      <c r="H3" s="59"/>
    </row>
    <row r="4" spans="2:16" x14ac:dyDescent="0.25">
      <c r="B4" s="60" t="s">
        <v>1</v>
      </c>
      <c r="C4" s="59"/>
      <c r="D4" s="59"/>
      <c r="E4" s="59"/>
      <c r="F4" s="59"/>
      <c r="G4" s="59"/>
      <c r="H4" s="59"/>
    </row>
    <row r="5" spans="2:16" x14ac:dyDescent="0.25">
      <c r="B5" s="3" t="s">
        <v>2</v>
      </c>
      <c r="D5" s="5" t="s">
        <v>13</v>
      </c>
      <c r="L5" s="5" t="s">
        <v>26</v>
      </c>
    </row>
    <row r="6" spans="2:16" ht="15.75" thickBot="1" x14ac:dyDescent="0.3">
      <c r="B6" t="s">
        <v>4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6" ht="28.5" x14ac:dyDescent="0.25">
      <c r="B7" t="s">
        <v>237</v>
      </c>
      <c r="D7" s="36" t="s">
        <v>14</v>
      </c>
      <c r="E7" s="37" t="s">
        <v>15</v>
      </c>
      <c r="F7" s="37" t="s">
        <v>16</v>
      </c>
      <c r="G7" s="37" t="s">
        <v>17</v>
      </c>
      <c r="H7" s="37" t="s">
        <v>18</v>
      </c>
      <c r="I7" s="38" t="s">
        <v>19</v>
      </c>
      <c r="J7" s="46" t="s">
        <v>23</v>
      </c>
      <c r="L7" s="13">
        <v>1</v>
      </c>
      <c r="M7" s="12" t="s">
        <v>80</v>
      </c>
      <c r="N7" s="11">
        <v>95</v>
      </c>
      <c r="O7" s="11" t="s">
        <v>81</v>
      </c>
    </row>
    <row r="8" spans="2:16" ht="15.75" x14ac:dyDescent="0.25">
      <c r="B8" t="s">
        <v>5</v>
      </c>
      <c r="D8" s="11" t="s">
        <v>104</v>
      </c>
      <c r="E8" s="11">
        <v>100</v>
      </c>
      <c r="F8" s="35">
        <v>180</v>
      </c>
      <c r="G8" s="35">
        <v>3</v>
      </c>
      <c r="H8" s="35">
        <v>0.3</v>
      </c>
      <c r="I8" s="35">
        <v>39.799999999999997</v>
      </c>
      <c r="J8" s="35">
        <v>0</v>
      </c>
      <c r="L8" s="13"/>
      <c r="M8" s="24" t="s">
        <v>245</v>
      </c>
      <c r="N8" s="11"/>
      <c r="O8" s="11"/>
    </row>
    <row r="9" spans="2:16" ht="15.75" x14ac:dyDescent="0.25">
      <c r="B9" t="s">
        <v>6</v>
      </c>
      <c r="D9" s="11" t="s">
        <v>244</v>
      </c>
      <c r="E9" s="11">
        <v>40</v>
      </c>
      <c r="F9" s="35">
        <v>38.4</v>
      </c>
      <c r="G9" s="35">
        <v>8.0299999999999994</v>
      </c>
      <c r="H9" s="35">
        <v>0.68</v>
      </c>
      <c r="I9" s="35">
        <v>0</v>
      </c>
      <c r="J9" s="35">
        <v>0</v>
      </c>
      <c r="L9" s="13">
        <v>2</v>
      </c>
      <c r="M9" s="12" t="s">
        <v>147</v>
      </c>
      <c r="N9" s="20">
        <v>150</v>
      </c>
      <c r="O9" s="20" t="s">
        <v>100</v>
      </c>
      <c r="P9" s="1" t="s">
        <v>202</v>
      </c>
    </row>
    <row r="10" spans="2:16" ht="15.75" x14ac:dyDescent="0.25">
      <c r="B10" t="s">
        <v>7</v>
      </c>
      <c r="D10" s="11" t="s">
        <v>33</v>
      </c>
      <c r="E10" s="11">
        <v>12.5</v>
      </c>
      <c r="F10" s="35">
        <v>25.13</v>
      </c>
      <c r="G10" s="35">
        <v>2.6</v>
      </c>
      <c r="H10" s="35">
        <v>1.1000000000000001</v>
      </c>
      <c r="I10" s="35">
        <v>1.69</v>
      </c>
      <c r="J10" s="35">
        <v>0.17</v>
      </c>
      <c r="L10" s="13">
        <v>3</v>
      </c>
      <c r="M10" s="12" t="s">
        <v>239</v>
      </c>
      <c r="N10" s="11">
        <v>1</v>
      </c>
      <c r="O10" s="11" t="s">
        <v>184</v>
      </c>
    </row>
    <row r="11" spans="2:16" ht="15.75" x14ac:dyDescent="0.25">
      <c r="D11" s="11" t="s">
        <v>102</v>
      </c>
      <c r="E11" s="11">
        <v>50</v>
      </c>
      <c r="F11" s="35">
        <v>12.5</v>
      </c>
      <c r="G11" s="35">
        <v>0.5</v>
      </c>
      <c r="H11" s="35">
        <v>0</v>
      </c>
      <c r="I11" s="35">
        <v>2.5</v>
      </c>
      <c r="J11" s="35">
        <v>0</v>
      </c>
      <c r="L11" s="13">
        <v>4</v>
      </c>
      <c r="M11" s="12" t="s">
        <v>238</v>
      </c>
      <c r="N11" s="11">
        <v>5</v>
      </c>
      <c r="O11" s="11" t="s">
        <v>100</v>
      </c>
    </row>
    <row r="12" spans="2:16" ht="15.75" x14ac:dyDescent="0.25">
      <c r="D12" s="11" t="s">
        <v>99</v>
      </c>
      <c r="E12" s="11">
        <v>50</v>
      </c>
      <c r="F12" s="35">
        <v>54</v>
      </c>
      <c r="G12" s="35">
        <v>0.5</v>
      </c>
      <c r="H12" s="35">
        <v>0.4</v>
      </c>
      <c r="I12" s="35">
        <v>12.15</v>
      </c>
      <c r="J12" s="35">
        <v>0.95</v>
      </c>
      <c r="L12" s="13">
        <v>5</v>
      </c>
      <c r="M12" s="12" t="s">
        <v>20</v>
      </c>
      <c r="N12" s="11">
        <v>30</v>
      </c>
      <c r="O12" s="11" t="s">
        <v>100</v>
      </c>
      <c r="P12" s="2"/>
    </row>
    <row r="13" spans="2:16" ht="15.75" x14ac:dyDescent="0.25">
      <c r="D13" s="11" t="s">
        <v>20</v>
      </c>
      <c r="E13" s="11">
        <v>5</v>
      </c>
      <c r="F13" s="35">
        <v>44.2</v>
      </c>
      <c r="G13" s="35">
        <v>0</v>
      </c>
      <c r="H13" s="35">
        <v>5</v>
      </c>
      <c r="I13" s="35">
        <v>0</v>
      </c>
      <c r="J13" s="35">
        <v>0</v>
      </c>
      <c r="L13" s="13">
        <v>6</v>
      </c>
      <c r="M13" s="12" t="s">
        <v>82</v>
      </c>
      <c r="N13" s="11">
        <v>4</v>
      </c>
      <c r="O13" s="11" t="s">
        <v>100</v>
      </c>
    </row>
    <row r="14" spans="2:16" ht="15.75" x14ac:dyDescent="0.25">
      <c r="D14" s="40" t="s">
        <v>21</v>
      </c>
      <c r="E14" s="40"/>
      <c r="F14" s="41">
        <v>354.23</v>
      </c>
      <c r="G14" s="41">
        <v>14.63</v>
      </c>
      <c r="H14" s="41">
        <v>7.48</v>
      </c>
      <c r="I14" s="41">
        <v>56.14</v>
      </c>
      <c r="J14" s="41">
        <v>1.1200000000000001</v>
      </c>
      <c r="L14" s="11">
        <v>7</v>
      </c>
      <c r="M14" s="12" t="s">
        <v>117</v>
      </c>
      <c r="N14" s="11">
        <v>2</v>
      </c>
      <c r="O14" s="11" t="s">
        <v>100</v>
      </c>
      <c r="P14" s="2"/>
    </row>
    <row r="15" spans="2:16" ht="15.75" x14ac:dyDescent="0.25">
      <c r="D15" s="19"/>
      <c r="E15" s="19"/>
      <c r="F15" s="34"/>
      <c r="G15" s="34"/>
      <c r="H15" s="34"/>
      <c r="I15" s="34"/>
      <c r="J15" s="34"/>
      <c r="L15" s="11">
        <v>8</v>
      </c>
      <c r="M15" s="12" t="s">
        <v>242</v>
      </c>
      <c r="N15" s="11">
        <v>0.5</v>
      </c>
      <c r="O15" s="11" t="s">
        <v>100</v>
      </c>
      <c r="P15" s="2"/>
    </row>
    <row r="16" spans="2:16" ht="15.75" x14ac:dyDescent="0.25">
      <c r="D16" s="19"/>
      <c r="E16" s="19"/>
      <c r="F16" s="34"/>
      <c r="G16" s="34"/>
      <c r="H16" s="34"/>
      <c r="I16" s="34"/>
      <c r="J16" s="34"/>
      <c r="L16" s="11">
        <v>9</v>
      </c>
      <c r="M16" s="12" t="s">
        <v>240</v>
      </c>
      <c r="N16" s="11">
        <v>0.5</v>
      </c>
      <c r="O16" s="11" t="s">
        <v>100</v>
      </c>
      <c r="P16" s="2"/>
    </row>
    <row r="17" spans="4:16" x14ac:dyDescent="0.25">
      <c r="L17" s="11">
        <v>10</v>
      </c>
      <c r="M17" s="12" t="s">
        <v>112</v>
      </c>
      <c r="N17" s="11">
        <v>6</v>
      </c>
      <c r="O17" s="11" t="s">
        <v>100</v>
      </c>
    </row>
    <row r="18" spans="4:16" ht="16.5" thickBot="1" x14ac:dyDescent="0.3">
      <c r="D18" s="8" t="s">
        <v>24</v>
      </c>
      <c r="L18" s="14">
        <v>11</v>
      </c>
      <c r="M18" s="12" t="s">
        <v>138</v>
      </c>
      <c r="N18" s="11">
        <v>0.5</v>
      </c>
      <c r="O18" s="11" t="s">
        <v>100</v>
      </c>
    </row>
    <row r="19" spans="4:16" ht="28.5" x14ac:dyDescent="0.25">
      <c r="D19" s="36" t="s">
        <v>14</v>
      </c>
      <c r="E19" s="36" t="s">
        <v>15</v>
      </c>
      <c r="F19" s="36" t="s">
        <v>16</v>
      </c>
      <c r="G19" s="36" t="s">
        <v>17</v>
      </c>
      <c r="H19" s="36" t="s">
        <v>18</v>
      </c>
      <c r="I19" s="36" t="s">
        <v>19</v>
      </c>
      <c r="J19" s="37" t="s">
        <v>22</v>
      </c>
      <c r="L19" s="14">
        <v>12</v>
      </c>
      <c r="M19" s="12" t="s">
        <v>168</v>
      </c>
      <c r="N19" s="11"/>
      <c r="O19" s="11" t="s">
        <v>100</v>
      </c>
      <c r="P19" s="1" t="s">
        <v>188</v>
      </c>
    </row>
    <row r="20" spans="4:16" ht="15" customHeight="1" x14ac:dyDescent="0.25">
      <c r="D20" s="11" t="s">
        <v>104</v>
      </c>
      <c r="E20" s="53">
        <v>200</v>
      </c>
      <c r="F20" s="35">
        <v>360</v>
      </c>
      <c r="G20" s="35">
        <v>6</v>
      </c>
      <c r="H20" s="35">
        <v>0.6</v>
      </c>
      <c r="I20" s="35">
        <v>79.599999999999994</v>
      </c>
      <c r="J20" s="35">
        <v>0</v>
      </c>
      <c r="L20" s="14">
        <v>13</v>
      </c>
      <c r="M20" s="12" t="s">
        <v>42</v>
      </c>
      <c r="N20" s="11">
        <v>25</v>
      </c>
      <c r="O20" s="11" t="s">
        <v>100</v>
      </c>
    </row>
    <row r="21" spans="4:16" ht="15.75" x14ac:dyDescent="0.25">
      <c r="D21" s="11" t="s">
        <v>244</v>
      </c>
      <c r="E21" s="53">
        <v>60</v>
      </c>
      <c r="F21" s="35">
        <v>57.6</v>
      </c>
      <c r="G21" s="35">
        <v>12.05</v>
      </c>
      <c r="H21" s="35">
        <v>1.02</v>
      </c>
      <c r="I21" s="35">
        <v>0</v>
      </c>
      <c r="J21" s="35">
        <v>0</v>
      </c>
      <c r="L21" s="14">
        <v>14</v>
      </c>
      <c r="M21" s="12" t="s">
        <v>243</v>
      </c>
      <c r="N21" s="11">
        <v>10</v>
      </c>
      <c r="O21" s="11" t="s">
        <v>100</v>
      </c>
    </row>
    <row r="22" spans="4:16" ht="15.75" x14ac:dyDescent="0.25">
      <c r="D22" s="11" t="s">
        <v>33</v>
      </c>
      <c r="E22" s="53">
        <v>25</v>
      </c>
      <c r="F22" s="35">
        <v>50.25</v>
      </c>
      <c r="G22" s="35">
        <v>5.2</v>
      </c>
      <c r="H22" s="35">
        <v>2.2000000000000002</v>
      </c>
      <c r="I22" s="35">
        <v>3.38</v>
      </c>
      <c r="J22" s="35">
        <v>0.35</v>
      </c>
      <c r="L22" s="14">
        <v>15</v>
      </c>
      <c r="M22" s="12" t="s">
        <v>241</v>
      </c>
      <c r="N22" s="11">
        <v>1</v>
      </c>
      <c r="O22" s="11" t="s">
        <v>100</v>
      </c>
    </row>
    <row r="23" spans="4:16" ht="15.75" x14ac:dyDescent="0.25">
      <c r="D23" s="11" t="s">
        <v>102</v>
      </c>
      <c r="E23" s="53">
        <v>50</v>
      </c>
      <c r="F23" s="35">
        <v>12.5</v>
      </c>
      <c r="G23" s="35">
        <v>0.5</v>
      </c>
      <c r="H23" s="35">
        <v>0</v>
      </c>
      <c r="I23" s="35">
        <v>2.5</v>
      </c>
      <c r="J23" s="35">
        <v>0</v>
      </c>
      <c r="L23" s="14">
        <v>16</v>
      </c>
      <c r="M23" s="12" t="s">
        <v>97</v>
      </c>
      <c r="N23" s="11">
        <v>2</v>
      </c>
      <c r="O23" s="11" t="s">
        <v>187</v>
      </c>
    </row>
    <row r="24" spans="4:16" ht="15.75" x14ac:dyDescent="0.25">
      <c r="D24" s="11" t="s">
        <v>103</v>
      </c>
      <c r="E24" s="53">
        <v>50</v>
      </c>
      <c r="F24" s="35">
        <v>54</v>
      </c>
      <c r="G24" s="35">
        <v>0.5</v>
      </c>
      <c r="H24" s="35">
        <v>0.4</v>
      </c>
      <c r="I24" s="35">
        <v>12.15</v>
      </c>
      <c r="J24" s="35">
        <v>0.95</v>
      </c>
      <c r="L24" s="14">
        <v>17</v>
      </c>
      <c r="M24" s="12" t="s">
        <v>98</v>
      </c>
      <c r="N24" s="11">
        <v>1</v>
      </c>
      <c r="O24" s="11" t="s">
        <v>100</v>
      </c>
    </row>
    <row r="25" spans="4:16" ht="15.75" x14ac:dyDescent="0.25">
      <c r="D25" s="11" t="s">
        <v>20</v>
      </c>
      <c r="E25" s="53">
        <v>7.5</v>
      </c>
      <c r="F25" s="35">
        <v>66.3</v>
      </c>
      <c r="G25" s="35">
        <v>0</v>
      </c>
      <c r="H25" s="35">
        <v>7.5</v>
      </c>
      <c r="I25" s="35">
        <v>0</v>
      </c>
      <c r="J25" s="35">
        <v>0</v>
      </c>
      <c r="L25" s="14"/>
      <c r="M25" s="24" t="s">
        <v>211</v>
      </c>
      <c r="N25" s="11"/>
      <c r="O25" s="11"/>
    </row>
    <row r="26" spans="4:16" ht="15.75" x14ac:dyDescent="0.25">
      <c r="D26" s="40" t="s">
        <v>21</v>
      </c>
      <c r="E26" s="40"/>
      <c r="F26" s="54">
        <v>600.65</v>
      </c>
      <c r="G26" s="54">
        <v>24.25</v>
      </c>
      <c r="H26" s="54">
        <v>11.72</v>
      </c>
      <c r="I26" s="54">
        <v>97.63</v>
      </c>
      <c r="J26" s="54">
        <v>1.3</v>
      </c>
      <c r="L26" s="14">
        <v>18</v>
      </c>
      <c r="M26" s="12" t="s">
        <v>89</v>
      </c>
      <c r="N26" s="20">
        <v>217</v>
      </c>
      <c r="O26" s="20" t="s">
        <v>185</v>
      </c>
    </row>
    <row r="27" spans="4:16" ht="15.75" x14ac:dyDescent="0.25">
      <c r="D27" s="19"/>
      <c r="E27" s="19"/>
      <c r="F27" s="34"/>
      <c r="G27" s="34"/>
      <c r="H27" s="34"/>
      <c r="I27" s="34"/>
      <c r="J27" s="34"/>
      <c r="L27" s="14">
        <v>19</v>
      </c>
      <c r="M27" s="12" t="s">
        <v>191</v>
      </c>
      <c r="N27" s="11">
        <v>3</v>
      </c>
      <c r="O27" s="11" t="s">
        <v>100</v>
      </c>
    </row>
    <row r="28" spans="4:16" ht="15.75" x14ac:dyDescent="0.25">
      <c r="D28" s="19"/>
      <c r="E28" s="19"/>
      <c r="F28" s="34"/>
      <c r="G28" s="34"/>
      <c r="H28" s="34"/>
      <c r="I28" s="34"/>
      <c r="J28" s="34"/>
      <c r="L28" s="15">
        <v>20</v>
      </c>
      <c r="M28" s="12" t="s">
        <v>90</v>
      </c>
      <c r="N28" s="11">
        <v>1</v>
      </c>
      <c r="O28" s="11" t="s">
        <v>189</v>
      </c>
      <c r="P28" s="2" t="s">
        <v>190</v>
      </c>
    </row>
    <row r="29" spans="4:16" ht="15.75" x14ac:dyDescent="0.25">
      <c r="D29" s="19"/>
      <c r="E29" s="19"/>
      <c r="F29" s="51"/>
      <c r="G29" s="51"/>
      <c r="H29" s="51"/>
      <c r="I29" s="51"/>
      <c r="J29" s="51"/>
      <c r="L29" s="11">
        <v>21</v>
      </c>
      <c r="M29" s="12" t="s">
        <v>91</v>
      </c>
      <c r="N29" s="11"/>
      <c r="O29" s="11" t="s">
        <v>189</v>
      </c>
      <c r="P29" s="1" t="s">
        <v>190</v>
      </c>
    </row>
    <row r="30" spans="4:16" ht="15.75" x14ac:dyDescent="0.25">
      <c r="D30" s="16"/>
      <c r="E30" s="43"/>
      <c r="F30" s="43"/>
      <c r="G30" s="43"/>
      <c r="H30" s="43"/>
      <c r="I30" s="43"/>
      <c r="J30" s="43"/>
      <c r="L30" s="11">
        <v>22</v>
      </c>
      <c r="M30" s="12" t="s">
        <v>20</v>
      </c>
      <c r="N30" s="11">
        <v>10</v>
      </c>
      <c r="O30" s="11" t="s">
        <v>100</v>
      </c>
    </row>
    <row r="31" spans="4:16" ht="15.75" x14ac:dyDescent="0.25">
      <c r="D31" s="19"/>
      <c r="E31" s="19"/>
      <c r="F31" s="51"/>
      <c r="G31" s="51"/>
      <c r="H31" s="51"/>
      <c r="I31" s="51"/>
      <c r="J31" s="51"/>
      <c r="L31" s="11"/>
      <c r="M31" s="23" t="s">
        <v>212</v>
      </c>
      <c r="N31" s="6"/>
      <c r="O31" s="6"/>
    </row>
    <row r="32" spans="4:16" ht="15.75" x14ac:dyDescent="0.25">
      <c r="D32" s="19"/>
      <c r="E32" s="10"/>
      <c r="F32" s="34"/>
      <c r="G32" s="34"/>
      <c r="H32" s="34"/>
      <c r="I32" s="34"/>
      <c r="J32" s="34"/>
      <c r="L32" s="11">
        <v>23</v>
      </c>
      <c r="M32" s="6" t="s">
        <v>92</v>
      </c>
      <c r="N32" s="11">
        <v>125</v>
      </c>
      <c r="O32" s="11" t="s">
        <v>100</v>
      </c>
    </row>
    <row r="33" spans="12:16" x14ac:dyDescent="0.25">
      <c r="L33" s="11">
        <v>24</v>
      </c>
      <c r="M33" s="6" t="s">
        <v>93</v>
      </c>
      <c r="N33" s="11">
        <v>2</v>
      </c>
      <c r="O33" s="11" t="s">
        <v>100</v>
      </c>
    </row>
    <row r="34" spans="12:16" x14ac:dyDescent="0.25">
      <c r="L34" s="11">
        <v>25</v>
      </c>
      <c r="M34" s="6" t="s">
        <v>94</v>
      </c>
      <c r="N34" s="11">
        <v>2</v>
      </c>
      <c r="O34" s="11" t="s">
        <v>182</v>
      </c>
      <c r="P34" s="2" t="s">
        <v>186</v>
      </c>
    </row>
    <row r="35" spans="12:16" x14ac:dyDescent="0.25">
      <c r="L35" s="11">
        <v>26</v>
      </c>
      <c r="M35" s="6" t="s">
        <v>97</v>
      </c>
      <c r="N35" s="11">
        <v>3</v>
      </c>
      <c r="O35" s="11" t="s">
        <v>187</v>
      </c>
    </row>
    <row r="36" spans="12:16" x14ac:dyDescent="0.25">
      <c r="L36" s="11">
        <v>27</v>
      </c>
      <c r="M36" s="6" t="s">
        <v>98</v>
      </c>
      <c r="N36" s="11"/>
      <c r="O36" s="11" t="s">
        <v>100</v>
      </c>
      <c r="P36" s="2" t="s">
        <v>188</v>
      </c>
    </row>
    <row r="37" spans="12:16" x14ac:dyDescent="0.25">
      <c r="L37" s="11">
        <v>28</v>
      </c>
      <c r="M37" s="6" t="s">
        <v>84</v>
      </c>
      <c r="N37" s="11"/>
      <c r="O37" s="11" t="s">
        <v>189</v>
      </c>
      <c r="P37" s="2" t="s">
        <v>188</v>
      </c>
    </row>
    <row r="38" spans="12:16" x14ac:dyDescent="0.25">
      <c r="L38" s="11">
        <v>29</v>
      </c>
      <c r="M38" s="6" t="s">
        <v>96</v>
      </c>
      <c r="N38" s="11">
        <v>3</v>
      </c>
      <c r="O38" s="11" t="s">
        <v>100</v>
      </c>
    </row>
    <row r="39" spans="12:16" x14ac:dyDescent="0.25">
      <c r="L39" s="11">
        <v>30</v>
      </c>
      <c r="M39" s="6" t="s">
        <v>20</v>
      </c>
      <c r="N39" s="11">
        <v>5</v>
      </c>
      <c r="O39" s="11" t="s">
        <v>100</v>
      </c>
    </row>
    <row r="40" spans="12:16" x14ac:dyDescent="0.25">
      <c r="L40" s="25"/>
      <c r="M40" s="50" t="s">
        <v>213</v>
      </c>
      <c r="N40" s="25"/>
      <c r="O40" s="25"/>
    </row>
    <row r="41" spans="12:16" x14ac:dyDescent="0.25">
      <c r="L41" s="11">
        <v>31</v>
      </c>
      <c r="M41" s="6" t="s">
        <v>99</v>
      </c>
      <c r="N41" s="11">
        <v>108</v>
      </c>
      <c r="O41" s="11" t="s">
        <v>100</v>
      </c>
    </row>
  </sheetData>
  <mergeCells count="2">
    <mergeCell ref="B3:H3"/>
    <mergeCell ref="B4:H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4FAA-A655-4786-8573-91CB28C69E17}">
  <dimension ref="B3:P45"/>
  <sheetViews>
    <sheetView zoomScale="78" zoomScaleNormal="78" workbookViewId="0">
      <selection activeCell="M44" sqref="M44"/>
    </sheetView>
  </sheetViews>
  <sheetFormatPr defaultRowHeight="15" x14ac:dyDescent="0.25"/>
  <cols>
    <col min="2" max="2" width="25.85546875" customWidth="1"/>
    <col min="3" max="3" width="11.7109375" customWidth="1"/>
    <col min="4" max="4" width="22.42578125" customWidth="1"/>
    <col min="5" max="5" width="9.140625" customWidth="1"/>
    <col min="13" max="13" width="33.28515625" customWidth="1"/>
    <col min="14" max="14" width="18.28515625" customWidth="1"/>
    <col min="15" max="15" width="17" customWidth="1"/>
    <col min="16" max="16" width="19.5703125" customWidth="1"/>
  </cols>
  <sheetData>
    <row r="3" spans="2:16" x14ac:dyDescent="0.25">
      <c r="B3" s="59" t="s">
        <v>0</v>
      </c>
      <c r="C3" s="59"/>
      <c r="D3" s="59"/>
      <c r="E3" s="59"/>
      <c r="F3" s="59"/>
      <c r="G3" s="59"/>
      <c r="H3" s="59"/>
    </row>
    <row r="4" spans="2:16" x14ac:dyDescent="0.25">
      <c r="B4" s="60" t="s">
        <v>1</v>
      </c>
      <c r="C4" s="59"/>
      <c r="D4" s="59"/>
      <c r="E4" s="59"/>
      <c r="F4" s="59"/>
      <c r="G4" s="59"/>
      <c r="H4" s="59"/>
    </row>
    <row r="5" spans="2:16" x14ac:dyDescent="0.25">
      <c r="B5" s="3" t="s">
        <v>27</v>
      </c>
      <c r="D5" s="5" t="s">
        <v>13</v>
      </c>
      <c r="L5" s="5" t="s">
        <v>26</v>
      </c>
    </row>
    <row r="6" spans="2:16" x14ac:dyDescent="0.25">
      <c r="B6" t="s">
        <v>28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6" ht="15.75" thickBot="1" x14ac:dyDescent="0.3">
      <c r="D7" s="5"/>
      <c r="L7" s="6"/>
      <c r="M7" s="23" t="s">
        <v>214</v>
      </c>
      <c r="N7" s="6"/>
      <c r="O7" s="6"/>
    </row>
    <row r="8" spans="2:16" ht="28.5" x14ac:dyDescent="0.25">
      <c r="B8" t="s">
        <v>29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39" t="s">
        <v>23</v>
      </c>
      <c r="L8" s="13">
        <v>1</v>
      </c>
      <c r="M8" s="6" t="s">
        <v>80</v>
      </c>
      <c r="N8" s="11">
        <v>95</v>
      </c>
      <c r="O8" s="11" t="s">
        <v>100</v>
      </c>
    </row>
    <row r="9" spans="2:16" ht="15.75" x14ac:dyDescent="0.25">
      <c r="B9" t="s">
        <v>55</v>
      </c>
      <c r="D9" s="11" t="s">
        <v>48</v>
      </c>
      <c r="E9" s="43">
        <v>100</v>
      </c>
      <c r="F9" s="43">
        <v>180</v>
      </c>
      <c r="G9" s="43">
        <v>3</v>
      </c>
      <c r="H9" s="43">
        <v>0.3</v>
      </c>
      <c r="I9" s="43">
        <v>39.799999999999997</v>
      </c>
      <c r="J9" s="43">
        <v>0.2</v>
      </c>
      <c r="L9" s="13">
        <v>2</v>
      </c>
      <c r="M9" s="6" t="s">
        <v>107</v>
      </c>
      <c r="N9" s="11">
        <v>0.5</v>
      </c>
      <c r="O9" s="11" t="s">
        <v>100</v>
      </c>
    </row>
    <row r="10" spans="2:16" ht="15.75" x14ac:dyDescent="0.25">
      <c r="B10" t="s">
        <v>30</v>
      </c>
      <c r="D10" s="11" t="s">
        <v>3</v>
      </c>
      <c r="E10" s="43">
        <v>55</v>
      </c>
      <c r="F10" s="43">
        <v>84.7</v>
      </c>
      <c r="G10" s="43">
        <v>6.82</v>
      </c>
      <c r="H10" s="43">
        <v>5.94</v>
      </c>
      <c r="I10" s="43">
        <v>0.39</v>
      </c>
      <c r="J10" s="43">
        <v>0</v>
      </c>
      <c r="L10" s="13">
        <v>3</v>
      </c>
      <c r="M10" s="6" t="s">
        <v>108</v>
      </c>
      <c r="N10" s="11">
        <v>0.5</v>
      </c>
      <c r="O10" s="11" t="s">
        <v>100</v>
      </c>
    </row>
    <row r="11" spans="2:16" ht="15.75" x14ac:dyDescent="0.25">
      <c r="B11" t="s">
        <v>31</v>
      </c>
      <c r="D11" s="16" t="s">
        <v>55</v>
      </c>
      <c r="E11" s="43">
        <v>27.5</v>
      </c>
      <c r="F11" s="43">
        <v>22</v>
      </c>
      <c r="G11" s="43">
        <v>3</v>
      </c>
      <c r="H11" s="43">
        <v>1.29</v>
      </c>
      <c r="I11" s="43">
        <v>0.22</v>
      </c>
      <c r="J11" s="43">
        <v>0.03</v>
      </c>
      <c r="L11" s="13">
        <v>4</v>
      </c>
      <c r="M11" s="6" t="s">
        <v>109</v>
      </c>
      <c r="N11" s="11">
        <v>1</v>
      </c>
      <c r="O11" s="11" t="s">
        <v>189</v>
      </c>
      <c r="P11" s="2" t="s">
        <v>190</v>
      </c>
    </row>
    <row r="12" spans="2:16" ht="15.75" x14ac:dyDescent="0.25">
      <c r="D12" s="11" t="s">
        <v>105</v>
      </c>
      <c r="E12" s="43">
        <v>50</v>
      </c>
      <c r="F12" s="43">
        <v>14</v>
      </c>
      <c r="G12" s="43">
        <v>1.7</v>
      </c>
      <c r="H12" s="43">
        <v>0.35</v>
      </c>
      <c r="I12" s="43">
        <v>1.95</v>
      </c>
      <c r="J12" s="43">
        <v>1</v>
      </c>
      <c r="L12" s="13">
        <v>5</v>
      </c>
      <c r="M12" s="6" t="s">
        <v>83</v>
      </c>
      <c r="N12" s="11">
        <v>1</v>
      </c>
      <c r="O12" s="11" t="s">
        <v>184</v>
      </c>
    </row>
    <row r="13" spans="2:16" ht="15.75" x14ac:dyDescent="0.25">
      <c r="D13" s="11" t="s">
        <v>106</v>
      </c>
      <c r="E13" s="43">
        <v>110</v>
      </c>
      <c r="F13" s="43">
        <v>49.5</v>
      </c>
      <c r="G13" s="43">
        <v>0.99</v>
      </c>
      <c r="H13" s="43">
        <v>0.22</v>
      </c>
      <c r="I13" s="43">
        <v>12.32</v>
      </c>
      <c r="J13" s="43">
        <v>1.54</v>
      </c>
      <c r="L13" s="13"/>
      <c r="M13" s="23" t="s">
        <v>215</v>
      </c>
      <c r="N13" s="11"/>
      <c r="O13" s="11"/>
    </row>
    <row r="14" spans="2:16" ht="15.75" x14ac:dyDescent="0.25">
      <c r="D14" s="11" t="s">
        <v>20</v>
      </c>
      <c r="E14" s="11">
        <v>5</v>
      </c>
      <c r="F14" s="43">
        <v>44.2</v>
      </c>
      <c r="G14" s="43">
        <v>0</v>
      </c>
      <c r="H14" s="43">
        <v>5</v>
      </c>
      <c r="I14" s="43">
        <v>0</v>
      </c>
      <c r="J14" s="43">
        <v>0</v>
      </c>
      <c r="L14" s="11">
        <v>6</v>
      </c>
      <c r="M14" s="6" t="s">
        <v>110</v>
      </c>
      <c r="N14" s="11">
        <v>58</v>
      </c>
      <c r="O14" s="11" t="s">
        <v>192</v>
      </c>
      <c r="P14" s="2" t="s">
        <v>193</v>
      </c>
    </row>
    <row r="15" spans="2:16" ht="15.75" x14ac:dyDescent="0.25">
      <c r="D15" s="40" t="s">
        <v>21</v>
      </c>
      <c r="E15" s="42"/>
      <c r="F15" s="45">
        <v>394.4</v>
      </c>
      <c r="G15" s="45">
        <v>15.51</v>
      </c>
      <c r="H15" s="45">
        <v>13.1</v>
      </c>
      <c r="I15" s="45">
        <v>54.68</v>
      </c>
      <c r="J15" s="45">
        <v>2.77</v>
      </c>
      <c r="L15" s="11">
        <v>7</v>
      </c>
      <c r="M15" s="6" t="s">
        <v>82</v>
      </c>
      <c r="N15" s="11">
        <v>2</v>
      </c>
      <c r="O15" s="11" t="s">
        <v>100</v>
      </c>
    </row>
    <row r="16" spans="2:16" ht="15.75" x14ac:dyDescent="0.25">
      <c r="F16" s="34"/>
      <c r="G16" s="34"/>
      <c r="H16" s="34"/>
      <c r="I16" s="34"/>
      <c r="J16" s="34"/>
      <c r="L16" s="11">
        <v>8</v>
      </c>
      <c r="M16" s="6" t="s">
        <v>111</v>
      </c>
      <c r="N16" s="11">
        <v>1</v>
      </c>
      <c r="O16" s="11" t="s">
        <v>100</v>
      </c>
    </row>
    <row r="17" spans="4:16" ht="16.5" thickBot="1" x14ac:dyDescent="0.3">
      <c r="D17" s="8" t="s">
        <v>24</v>
      </c>
      <c r="L17" s="14">
        <v>9</v>
      </c>
      <c r="M17" s="6" t="s">
        <v>112</v>
      </c>
      <c r="N17" s="11">
        <v>2.5</v>
      </c>
      <c r="O17" s="11" t="s">
        <v>100</v>
      </c>
    </row>
    <row r="18" spans="4:16" x14ac:dyDescent="0.25">
      <c r="D18" s="61" t="s">
        <v>14</v>
      </c>
      <c r="E18" s="61" t="s">
        <v>15</v>
      </c>
      <c r="F18" s="61" t="s">
        <v>16</v>
      </c>
      <c r="G18" s="61" t="s">
        <v>17</v>
      </c>
      <c r="H18" s="61" t="s">
        <v>18</v>
      </c>
      <c r="I18" s="61" t="s">
        <v>19</v>
      </c>
      <c r="J18" s="37" t="s">
        <v>22</v>
      </c>
      <c r="L18" s="14">
        <v>10</v>
      </c>
      <c r="M18" s="6" t="s">
        <v>86</v>
      </c>
      <c r="N18" s="11">
        <v>0.5</v>
      </c>
      <c r="O18" s="11" t="s">
        <v>100</v>
      </c>
    </row>
    <row r="19" spans="4:16" ht="28.5" x14ac:dyDescent="0.25">
      <c r="D19" s="62"/>
      <c r="E19" s="62"/>
      <c r="F19" s="62"/>
      <c r="G19" s="62"/>
      <c r="H19" s="62"/>
      <c r="I19" s="62"/>
      <c r="J19" s="44" t="s">
        <v>25</v>
      </c>
      <c r="L19" s="14">
        <v>11</v>
      </c>
      <c r="M19" s="6" t="s">
        <v>113</v>
      </c>
      <c r="N19" s="11">
        <v>0.5</v>
      </c>
      <c r="O19" s="11" t="s">
        <v>100</v>
      </c>
    </row>
    <row r="20" spans="4:16" ht="15.75" x14ac:dyDescent="0.25">
      <c r="D20" s="11" t="s">
        <v>48</v>
      </c>
      <c r="E20" s="35">
        <v>200</v>
      </c>
      <c r="F20" s="35">
        <v>360</v>
      </c>
      <c r="G20" s="35">
        <v>6</v>
      </c>
      <c r="H20" s="35">
        <v>0.6</v>
      </c>
      <c r="I20" s="35">
        <v>79.599999999999994</v>
      </c>
      <c r="J20" s="35">
        <v>0.4</v>
      </c>
      <c r="L20" s="14">
        <v>12</v>
      </c>
      <c r="M20" s="6" t="s">
        <v>114</v>
      </c>
      <c r="N20" s="11">
        <v>17</v>
      </c>
      <c r="O20" s="11" t="s">
        <v>194</v>
      </c>
      <c r="P20" s="1" t="s">
        <v>195</v>
      </c>
    </row>
    <row r="21" spans="4:16" ht="15.75" x14ac:dyDescent="0.25">
      <c r="D21" s="11" t="s">
        <v>3</v>
      </c>
      <c r="E21" s="35">
        <v>55</v>
      </c>
      <c r="F21" s="35">
        <v>84.7</v>
      </c>
      <c r="G21" s="35">
        <v>6.82</v>
      </c>
      <c r="H21" s="35">
        <v>5.94</v>
      </c>
      <c r="I21" s="35">
        <v>0.39</v>
      </c>
      <c r="J21" s="35">
        <v>0</v>
      </c>
      <c r="L21" s="14">
        <v>13</v>
      </c>
      <c r="M21" s="6" t="s">
        <v>85</v>
      </c>
      <c r="N21" s="11">
        <v>3</v>
      </c>
      <c r="O21" s="11" t="s">
        <v>182</v>
      </c>
    </row>
    <row r="22" spans="4:16" ht="15.75" x14ac:dyDescent="0.25">
      <c r="D22" s="11" t="s">
        <v>55</v>
      </c>
      <c r="E22" s="35">
        <v>55</v>
      </c>
      <c r="F22" s="35">
        <v>44</v>
      </c>
      <c r="G22" s="35">
        <v>6</v>
      </c>
      <c r="H22" s="35">
        <v>2.58</v>
      </c>
      <c r="I22" s="35">
        <v>0.44</v>
      </c>
      <c r="J22" s="35">
        <v>0.06</v>
      </c>
      <c r="L22" s="14">
        <v>14</v>
      </c>
      <c r="M22" s="6" t="s">
        <v>97</v>
      </c>
      <c r="N22" s="11">
        <v>1</v>
      </c>
      <c r="O22" s="11" t="s">
        <v>187</v>
      </c>
    </row>
    <row r="23" spans="4:16" ht="15.75" x14ac:dyDescent="0.25">
      <c r="D23" s="11" t="s">
        <v>105</v>
      </c>
      <c r="E23" s="35">
        <v>50</v>
      </c>
      <c r="F23" s="35">
        <v>14</v>
      </c>
      <c r="G23" s="35">
        <v>1.7</v>
      </c>
      <c r="H23" s="35">
        <v>0.35</v>
      </c>
      <c r="I23" s="35">
        <v>1.95</v>
      </c>
      <c r="J23" s="35">
        <v>1</v>
      </c>
      <c r="L23" s="14">
        <v>15</v>
      </c>
      <c r="M23" s="6" t="s">
        <v>98</v>
      </c>
      <c r="N23" s="11"/>
      <c r="O23" s="11" t="s">
        <v>100</v>
      </c>
      <c r="P23" s="1" t="s">
        <v>196</v>
      </c>
    </row>
    <row r="24" spans="4:16" ht="15.75" x14ac:dyDescent="0.25">
      <c r="D24" s="11" t="s">
        <v>106</v>
      </c>
      <c r="E24" s="35">
        <v>110</v>
      </c>
      <c r="F24" s="35">
        <v>49.5</v>
      </c>
      <c r="G24" s="35">
        <v>0.99</v>
      </c>
      <c r="H24" s="35">
        <v>0.22</v>
      </c>
      <c r="I24" s="35">
        <v>12.32</v>
      </c>
      <c r="J24" s="35">
        <v>1.54</v>
      </c>
      <c r="L24" s="15">
        <v>16</v>
      </c>
      <c r="M24" s="6" t="s">
        <v>115</v>
      </c>
      <c r="N24" s="11">
        <v>1</v>
      </c>
      <c r="O24" s="11" t="s">
        <v>189</v>
      </c>
      <c r="P24" s="2" t="s">
        <v>190</v>
      </c>
    </row>
    <row r="25" spans="4:16" ht="15.75" x14ac:dyDescent="0.25">
      <c r="D25" s="11" t="s">
        <v>20</v>
      </c>
      <c r="E25" s="35">
        <v>7.5</v>
      </c>
      <c r="F25" s="35">
        <v>66.3</v>
      </c>
      <c r="G25" s="35">
        <v>0</v>
      </c>
      <c r="H25" s="35">
        <v>7.5</v>
      </c>
      <c r="I25" s="35">
        <v>0</v>
      </c>
      <c r="J25" s="35">
        <v>0</v>
      </c>
      <c r="L25" s="11">
        <v>17</v>
      </c>
      <c r="M25" s="6" t="s">
        <v>95</v>
      </c>
      <c r="N25" s="11">
        <v>30</v>
      </c>
      <c r="O25" s="11" t="s">
        <v>100</v>
      </c>
    </row>
    <row r="26" spans="4:16" ht="15.75" x14ac:dyDescent="0.25">
      <c r="D26" s="40" t="s">
        <v>21</v>
      </c>
      <c r="E26" s="40"/>
      <c r="F26" s="41">
        <v>618.5</v>
      </c>
      <c r="G26" s="41">
        <v>21.51</v>
      </c>
      <c r="H26" s="41">
        <v>17.190000000000001</v>
      </c>
      <c r="I26" s="41">
        <v>94.7</v>
      </c>
      <c r="J26" s="41">
        <v>3</v>
      </c>
      <c r="L26" s="11"/>
      <c r="M26" s="2" t="s">
        <v>216</v>
      </c>
      <c r="N26" s="11"/>
      <c r="O26" s="11"/>
    </row>
    <row r="27" spans="4:16" ht="15.75" x14ac:dyDescent="0.25">
      <c r="F27" s="34"/>
      <c r="G27" s="34"/>
      <c r="H27" s="34"/>
      <c r="I27" s="34"/>
      <c r="J27" s="34"/>
      <c r="L27" s="11">
        <v>18</v>
      </c>
      <c r="M27" s="12" t="s">
        <v>139</v>
      </c>
      <c r="N27" s="20">
        <v>12</v>
      </c>
      <c r="O27" s="20" t="s">
        <v>185</v>
      </c>
      <c r="P27" s="1" t="s">
        <v>201</v>
      </c>
    </row>
    <row r="28" spans="4:16" x14ac:dyDescent="0.25">
      <c r="L28" s="11">
        <v>19</v>
      </c>
      <c r="M28" s="12" t="s">
        <v>191</v>
      </c>
      <c r="N28" s="11">
        <v>3</v>
      </c>
      <c r="O28" s="11" t="s">
        <v>100</v>
      </c>
    </row>
    <row r="29" spans="4:16" x14ac:dyDescent="0.25">
      <c r="L29" s="11">
        <v>20</v>
      </c>
      <c r="M29" s="12" t="s">
        <v>90</v>
      </c>
      <c r="N29" s="11"/>
      <c r="O29" s="11" t="s">
        <v>189</v>
      </c>
      <c r="P29" s="1" t="s">
        <v>188</v>
      </c>
    </row>
    <row r="30" spans="4:16" x14ac:dyDescent="0.25">
      <c r="L30" s="11">
        <v>21</v>
      </c>
      <c r="M30" s="12" t="s">
        <v>91</v>
      </c>
      <c r="N30" s="11"/>
      <c r="O30" s="11" t="s">
        <v>189</v>
      </c>
      <c r="P30" s="1" t="s">
        <v>188</v>
      </c>
    </row>
    <row r="31" spans="4:16" x14ac:dyDescent="0.25">
      <c r="L31" s="11">
        <v>22</v>
      </c>
      <c r="M31" s="12" t="s">
        <v>20</v>
      </c>
      <c r="N31" s="11">
        <v>10</v>
      </c>
      <c r="O31" s="11" t="s">
        <v>100</v>
      </c>
    </row>
    <row r="32" spans="4:16" x14ac:dyDescent="0.25">
      <c r="L32" s="11"/>
      <c r="M32" s="23" t="s">
        <v>217</v>
      </c>
      <c r="N32" s="11"/>
      <c r="O32" s="11"/>
    </row>
    <row r="33" spans="12:16" x14ac:dyDescent="0.25">
      <c r="L33" s="11">
        <v>23</v>
      </c>
      <c r="M33" s="6" t="s">
        <v>116</v>
      </c>
      <c r="N33" s="11">
        <v>120</v>
      </c>
      <c r="O33" s="11" t="s">
        <v>100</v>
      </c>
    </row>
    <row r="34" spans="12:16" x14ac:dyDescent="0.25">
      <c r="L34" s="11">
        <v>24</v>
      </c>
      <c r="M34" s="6" t="s">
        <v>117</v>
      </c>
      <c r="N34" s="11">
        <v>1</v>
      </c>
      <c r="O34" s="11" t="s">
        <v>100</v>
      </c>
    </row>
    <row r="35" spans="12:16" x14ac:dyDescent="0.25">
      <c r="L35" s="11">
        <v>25</v>
      </c>
      <c r="M35" s="6" t="s">
        <v>82</v>
      </c>
      <c r="N35" s="11">
        <v>1.5</v>
      </c>
      <c r="O35" s="11" t="s">
        <v>100</v>
      </c>
    </row>
    <row r="36" spans="12:16" x14ac:dyDescent="0.25">
      <c r="L36" s="11">
        <v>26</v>
      </c>
      <c r="M36" s="6" t="s">
        <v>118</v>
      </c>
      <c r="N36" s="11">
        <v>1</v>
      </c>
      <c r="O36" s="11" t="s">
        <v>100</v>
      </c>
    </row>
    <row r="37" spans="12:16" x14ac:dyDescent="0.25">
      <c r="L37" s="11">
        <v>27</v>
      </c>
      <c r="M37" s="6" t="s">
        <v>119</v>
      </c>
      <c r="N37" s="11">
        <v>1</v>
      </c>
      <c r="O37" s="11" t="s">
        <v>100</v>
      </c>
    </row>
    <row r="38" spans="12:16" x14ac:dyDescent="0.25">
      <c r="L38" s="11">
        <v>28</v>
      </c>
      <c r="M38" s="6" t="s">
        <v>120</v>
      </c>
      <c r="N38" s="11">
        <v>2</v>
      </c>
      <c r="O38" s="11" t="s">
        <v>182</v>
      </c>
      <c r="P38" s="2" t="s">
        <v>186</v>
      </c>
    </row>
    <row r="39" spans="12:16" x14ac:dyDescent="0.25">
      <c r="L39" s="11">
        <v>29</v>
      </c>
      <c r="M39" s="6" t="s">
        <v>83</v>
      </c>
      <c r="N39" s="11"/>
      <c r="O39" s="11" t="s">
        <v>184</v>
      </c>
      <c r="P39" s="1" t="s">
        <v>196</v>
      </c>
    </row>
    <row r="40" spans="12:16" x14ac:dyDescent="0.25">
      <c r="L40" s="11">
        <v>30</v>
      </c>
      <c r="M40" s="6" t="s">
        <v>115</v>
      </c>
      <c r="N40" s="11">
        <v>1</v>
      </c>
      <c r="O40" s="11" t="s">
        <v>189</v>
      </c>
      <c r="P40" s="2" t="s">
        <v>190</v>
      </c>
    </row>
    <row r="41" spans="12:16" x14ac:dyDescent="0.25">
      <c r="L41" s="11">
        <v>31</v>
      </c>
      <c r="M41" s="6" t="s">
        <v>95</v>
      </c>
      <c r="N41" s="11">
        <v>5</v>
      </c>
      <c r="O41" s="11" t="s">
        <v>100</v>
      </c>
    </row>
    <row r="42" spans="12:16" x14ac:dyDescent="0.25">
      <c r="L42" s="11"/>
      <c r="M42" s="23" t="s">
        <v>213</v>
      </c>
      <c r="N42" s="11"/>
      <c r="O42" s="11"/>
    </row>
    <row r="43" spans="12:16" x14ac:dyDescent="0.25">
      <c r="L43" s="11">
        <v>32</v>
      </c>
      <c r="M43" s="6" t="s">
        <v>106</v>
      </c>
      <c r="N43" s="11">
        <v>120</v>
      </c>
      <c r="O43" s="11" t="s">
        <v>100</v>
      </c>
    </row>
    <row r="44" spans="12:16" x14ac:dyDescent="0.25">
      <c r="L44" s="16"/>
      <c r="N44" s="16"/>
      <c r="O44" s="16"/>
    </row>
    <row r="45" spans="12:16" x14ac:dyDescent="0.25">
      <c r="L45" s="16"/>
    </row>
  </sheetData>
  <mergeCells count="8">
    <mergeCell ref="I18:I19"/>
    <mergeCell ref="B3:H3"/>
    <mergeCell ref="B4:H4"/>
    <mergeCell ref="D18:D19"/>
    <mergeCell ref="E18:E19"/>
    <mergeCell ref="F18:F19"/>
    <mergeCell ref="G18:G19"/>
    <mergeCell ref="H18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AE8E-E0EF-4647-BAE0-D05A7B5EE338}">
  <dimension ref="B3:U39"/>
  <sheetViews>
    <sheetView topLeftCell="A6" zoomScale="75" zoomScaleNormal="75" workbookViewId="0">
      <selection activeCell="M15" sqref="M15"/>
    </sheetView>
  </sheetViews>
  <sheetFormatPr defaultRowHeight="15" x14ac:dyDescent="0.25"/>
  <cols>
    <col min="2" max="2" width="28.42578125" customWidth="1"/>
    <col min="4" max="4" width="28" customWidth="1"/>
    <col min="13" max="13" width="27.140625" customWidth="1"/>
    <col min="15" max="15" width="14.85546875" customWidth="1"/>
    <col min="16" max="16" width="17.85546875" customWidth="1"/>
  </cols>
  <sheetData>
    <row r="3" spans="2:21" x14ac:dyDescent="0.25">
      <c r="B3" s="59" t="s">
        <v>0</v>
      </c>
      <c r="C3" s="59"/>
      <c r="D3" s="59"/>
      <c r="E3" s="59"/>
      <c r="F3" s="59"/>
      <c r="G3" s="59"/>
      <c r="H3" s="59"/>
    </row>
    <row r="4" spans="2:21" x14ac:dyDescent="0.25">
      <c r="B4" s="60" t="s">
        <v>1</v>
      </c>
      <c r="C4" s="59"/>
      <c r="D4" s="59"/>
      <c r="E4" s="59"/>
      <c r="F4" s="59"/>
      <c r="G4" s="59"/>
      <c r="H4" s="59"/>
    </row>
    <row r="5" spans="2:21" x14ac:dyDescent="0.25">
      <c r="B5" s="3" t="s">
        <v>34</v>
      </c>
      <c r="D5" s="5" t="s">
        <v>13</v>
      </c>
      <c r="L5" s="5" t="s">
        <v>26</v>
      </c>
    </row>
    <row r="6" spans="2:21" x14ac:dyDescent="0.25">
      <c r="B6" t="s">
        <v>36</v>
      </c>
      <c r="D6" s="5" t="s">
        <v>12</v>
      </c>
      <c r="L6" s="29" t="s">
        <v>8</v>
      </c>
      <c r="M6" s="29" t="s">
        <v>9</v>
      </c>
      <c r="N6" s="29" t="s">
        <v>10</v>
      </c>
      <c r="O6" s="29" t="s">
        <v>11</v>
      </c>
    </row>
    <row r="7" spans="2:21" ht="15.75" thickBot="1" x14ac:dyDescent="0.3">
      <c r="D7" s="5"/>
      <c r="L7" s="31"/>
      <c r="M7" s="32" t="s">
        <v>218</v>
      </c>
      <c r="N7" s="31"/>
      <c r="O7" s="31"/>
    </row>
    <row r="8" spans="2:21" ht="28.5" x14ac:dyDescent="0.25">
      <c r="B8" t="s">
        <v>37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46" t="s">
        <v>23</v>
      </c>
      <c r="L8" s="30">
        <v>1</v>
      </c>
      <c r="M8" s="9" t="s">
        <v>121</v>
      </c>
      <c r="N8" s="27">
        <v>95</v>
      </c>
      <c r="O8" s="27" t="s">
        <v>100</v>
      </c>
    </row>
    <row r="9" spans="2:21" ht="15.75" x14ac:dyDescent="0.25">
      <c r="B9" t="s">
        <v>38</v>
      </c>
      <c r="D9" s="11" t="s">
        <v>48</v>
      </c>
      <c r="E9" s="35">
        <v>100</v>
      </c>
      <c r="F9" s="35">
        <v>180</v>
      </c>
      <c r="G9" s="35">
        <v>3</v>
      </c>
      <c r="H9" s="35">
        <v>0.3</v>
      </c>
      <c r="I9" s="35">
        <v>39.799999999999997</v>
      </c>
      <c r="J9" s="35">
        <v>0.2</v>
      </c>
      <c r="L9" s="13">
        <v>2</v>
      </c>
      <c r="M9" s="6" t="s">
        <v>122</v>
      </c>
      <c r="N9" s="11">
        <v>65</v>
      </c>
      <c r="O9" s="11" t="s">
        <v>197</v>
      </c>
      <c r="P9" s="1" t="s">
        <v>198</v>
      </c>
    </row>
    <row r="10" spans="2:21" ht="15.75" x14ac:dyDescent="0.25">
      <c r="B10" t="s">
        <v>49</v>
      </c>
      <c r="D10" s="11" t="s">
        <v>37</v>
      </c>
      <c r="E10" s="35">
        <v>10</v>
      </c>
      <c r="F10" s="35">
        <v>44</v>
      </c>
      <c r="G10" s="35">
        <v>2.8</v>
      </c>
      <c r="H10" s="35">
        <v>2</v>
      </c>
      <c r="I10" s="35">
        <v>4</v>
      </c>
      <c r="J10" s="35">
        <v>0</v>
      </c>
      <c r="L10" s="13">
        <v>3</v>
      </c>
      <c r="M10" s="6" t="s">
        <v>123</v>
      </c>
      <c r="N10" s="11">
        <v>3</v>
      </c>
      <c r="O10" s="11" t="s">
        <v>100</v>
      </c>
    </row>
    <row r="11" spans="2:21" ht="15.75" x14ac:dyDescent="0.25">
      <c r="B11" t="s">
        <v>39</v>
      </c>
      <c r="D11" s="11" t="s">
        <v>33</v>
      </c>
      <c r="E11" s="35">
        <v>12.5</v>
      </c>
      <c r="F11" s="35">
        <v>25.13</v>
      </c>
      <c r="G11" s="35">
        <v>2.6</v>
      </c>
      <c r="H11" s="35">
        <v>1.1000000000000001</v>
      </c>
      <c r="I11" s="35">
        <v>1.69</v>
      </c>
      <c r="J11" s="35">
        <v>0.17</v>
      </c>
      <c r="L11" s="13">
        <v>4</v>
      </c>
      <c r="M11" s="6" t="s">
        <v>124</v>
      </c>
      <c r="N11" s="11"/>
      <c r="O11" s="11" t="s">
        <v>189</v>
      </c>
      <c r="P11" s="1" t="s">
        <v>188</v>
      </c>
    </row>
    <row r="12" spans="2:21" ht="15.75" x14ac:dyDescent="0.25">
      <c r="D12" s="11" t="s">
        <v>40</v>
      </c>
      <c r="E12" s="35">
        <v>25</v>
      </c>
      <c r="F12" s="35">
        <v>2</v>
      </c>
      <c r="G12" s="35">
        <v>0.05</v>
      </c>
      <c r="H12" s="35">
        <v>0.05</v>
      </c>
      <c r="I12" s="35">
        <v>0.35</v>
      </c>
      <c r="J12" s="35">
        <v>7.0000000000000007E-2</v>
      </c>
      <c r="L12" s="13">
        <v>5</v>
      </c>
      <c r="M12" s="6" t="s">
        <v>101</v>
      </c>
      <c r="N12" s="11"/>
      <c r="O12" s="11" t="s">
        <v>189</v>
      </c>
      <c r="P12" s="1" t="s">
        <v>188</v>
      </c>
      <c r="U12" s="28"/>
    </row>
    <row r="13" spans="2:21" ht="15.75" x14ac:dyDescent="0.25">
      <c r="D13" s="11" t="s">
        <v>42</v>
      </c>
      <c r="E13" s="35">
        <v>25</v>
      </c>
      <c r="F13" s="35">
        <v>6</v>
      </c>
      <c r="G13" s="35">
        <v>0.33</v>
      </c>
      <c r="H13" s="35">
        <v>0.13</v>
      </c>
      <c r="I13" s="35">
        <v>1.18</v>
      </c>
      <c r="J13" s="35">
        <v>0.38</v>
      </c>
      <c r="L13" s="13"/>
      <c r="M13" s="6" t="s">
        <v>125</v>
      </c>
      <c r="N13" s="11">
        <v>0.5</v>
      </c>
      <c r="O13" s="11" t="s">
        <v>100</v>
      </c>
    </row>
    <row r="14" spans="2:21" ht="15.75" x14ac:dyDescent="0.25">
      <c r="D14" s="11" t="s">
        <v>132</v>
      </c>
      <c r="E14" s="35">
        <v>180</v>
      </c>
      <c r="F14" s="35">
        <v>50.4</v>
      </c>
      <c r="G14" s="35">
        <v>0.9</v>
      </c>
      <c r="H14" s="35">
        <v>0.36</v>
      </c>
      <c r="I14" s="35">
        <v>12.42</v>
      </c>
      <c r="J14" s="35">
        <v>0.72</v>
      </c>
      <c r="L14" s="11">
        <v>6</v>
      </c>
      <c r="M14" s="6" t="s">
        <v>88</v>
      </c>
      <c r="N14" s="11">
        <v>0.5</v>
      </c>
      <c r="O14" s="11" t="s">
        <v>100</v>
      </c>
    </row>
    <row r="15" spans="2:21" ht="15.75" x14ac:dyDescent="0.25">
      <c r="D15" s="11" t="s">
        <v>20</v>
      </c>
      <c r="E15" s="35">
        <v>5</v>
      </c>
      <c r="F15" s="35">
        <v>44.2</v>
      </c>
      <c r="G15" s="35">
        <v>0</v>
      </c>
      <c r="H15" s="35">
        <v>5</v>
      </c>
      <c r="I15" s="35">
        <v>0</v>
      </c>
      <c r="J15" s="35">
        <v>0</v>
      </c>
      <c r="L15" s="11">
        <v>7</v>
      </c>
      <c r="M15" s="6" t="s">
        <v>126</v>
      </c>
      <c r="N15" s="11">
        <v>0.5</v>
      </c>
      <c r="O15" s="11" t="s">
        <v>100</v>
      </c>
    </row>
    <row r="16" spans="2:21" ht="15.75" x14ac:dyDescent="0.25">
      <c r="D16" s="40" t="s">
        <v>21</v>
      </c>
      <c r="E16" s="40"/>
      <c r="F16" s="47">
        <v>351.73</v>
      </c>
      <c r="G16" s="47">
        <v>9.68</v>
      </c>
      <c r="H16" s="47">
        <v>8.94</v>
      </c>
      <c r="I16" s="47">
        <v>59.44</v>
      </c>
      <c r="J16" s="47">
        <v>1.54</v>
      </c>
      <c r="L16" s="11">
        <v>8</v>
      </c>
      <c r="M16" s="6" t="s">
        <v>108</v>
      </c>
      <c r="N16" s="11">
        <v>0.5</v>
      </c>
      <c r="O16" s="11" t="s">
        <v>100</v>
      </c>
    </row>
    <row r="17" spans="4:16" ht="15.75" x14ac:dyDescent="0.25">
      <c r="F17" s="34"/>
      <c r="G17" s="34"/>
      <c r="H17" s="34"/>
      <c r="I17" s="34"/>
      <c r="J17" s="34"/>
      <c r="L17" s="14">
        <v>9</v>
      </c>
      <c r="M17" s="6" t="s">
        <v>183</v>
      </c>
      <c r="N17" s="11">
        <v>1</v>
      </c>
      <c r="O17" s="11" t="s">
        <v>184</v>
      </c>
    </row>
    <row r="18" spans="4:16" ht="16.5" thickBot="1" x14ac:dyDescent="0.3">
      <c r="D18" s="8" t="s">
        <v>24</v>
      </c>
      <c r="L18" s="14"/>
      <c r="M18" s="23" t="s">
        <v>219</v>
      </c>
      <c r="N18" s="11"/>
      <c r="O18" s="11"/>
    </row>
    <row r="19" spans="4:16" x14ac:dyDescent="0.25">
      <c r="D19" s="61" t="s">
        <v>14</v>
      </c>
      <c r="E19" s="61" t="s">
        <v>15</v>
      </c>
      <c r="F19" s="61" t="s">
        <v>16</v>
      </c>
      <c r="G19" s="61" t="s">
        <v>17</v>
      </c>
      <c r="H19" s="61" t="s">
        <v>18</v>
      </c>
      <c r="I19" s="61" t="s">
        <v>19</v>
      </c>
      <c r="J19" s="37" t="s">
        <v>22</v>
      </c>
      <c r="L19" s="14">
        <v>10</v>
      </c>
      <c r="M19" s="6" t="s">
        <v>127</v>
      </c>
      <c r="N19" s="11">
        <v>50</v>
      </c>
      <c r="O19" s="11" t="s">
        <v>100</v>
      </c>
    </row>
    <row r="20" spans="4:16" ht="29.25" thickBot="1" x14ac:dyDescent="0.3">
      <c r="D20" s="63"/>
      <c r="E20" s="62"/>
      <c r="F20" s="62"/>
      <c r="G20" s="62"/>
      <c r="H20" s="62"/>
      <c r="I20" s="62"/>
      <c r="J20" s="44" t="s">
        <v>25</v>
      </c>
      <c r="L20" s="14"/>
      <c r="M20" s="23" t="s">
        <v>220</v>
      </c>
      <c r="N20" s="11"/>
      <c r="O20" s="11"/>
    </row>
    <row r="21" spans="4:16" ht="15.75" x14ac:dyDescent="0.25">
      <c r="D21" s="11" t="s">
        <v>48</v>
      </c>
      <c r="E21" s="35">
        <v>200</v>
      </c>
      <c r="F21" s="35">
        <v>360</v>
      </c>
      <c r="G21" s="35">
        <v>6</v>
      </c>
      <c r="H21" s="35">
        <v>0.6</v>
      </c>
      <c r="I21" s="35">
        <v>79.599999999999994</v>
      </c>
      <c r="J21" s="35">
        <v>0.4</v>
      </c>
      <c r="L21" s="14">
        <v>11</v>
      </c>
      <c r="M21" s="6" t="s">
        <v>89</v>
      </c>
      <c r="N21" s="20">
        <v>217</v>
      </c>
      <c r="O21" s="20" t="s">
        <v>185</v>
      </c>
    </row>
    <row r="22" spans="4:16" ht="15.75" x14ac:dyDescent="0.25">
      <c r="D22" s="11" t="s">
        <v>37</v>
      </c>
      <c r="E22" s="35">
        <v>20</v>
      </c>
      <c r="F22" s="35">
        <v>88</v>
      </c>
      <c r="G22" s="35">
        <v>5.6</v>
      </c>
      <c r="H22" s="35">
        <v>4</v>
      </c>
      <c r="I22" s="35">
        <v>8</v>
      </c>
      <c r="J22" s="35">
        <v>0</v>
      </c>
      <c r="L22" s="14">
        <v>12</v>
      </c>
      <c r="M22" s="6" t="s">
        <v>82</v>
      </c>
      <c r="N22" s="11">
        <v>2</v>
      </c>
      <c r="O22" s="11" t="s">
        <v>100</v>
      </c>
    </row>
    <row r="23" spans="4:16" ht="15.75" x14ac:dyDescent="0.25">
      <c r="D23" s="11" t="s">
        <v>33</v>
      </c>
      <c r="E23" s="35">
        <v>25</v>
      </c>
      <c r="F23" s="35">
        <v>50.25</v>
      </c>
      <c r="G23" s="35">
        <v>5.2</v>
      </c>
      <c r="H23" s="35">
        <v>2.2000000000000002</v>
      </c>
      <c r="I23" s="35">
        <v>3.38</v>
      </c>
      <c r="J23" s="35">
        <v>0.35</v>
      </c>
      <c r="L23" s="14">
        <v>13</v>
      </c>
      <c r="M23" s="6" t="s">
        <v>117</v>
      </c>
      <c r="N23" s="11">
        <v>1</v>
      </c>
      <c r="O23" s="11" t="s">
        <v>100</v>
      </c>
    </row>
    <row r="24" spans="4:16" ht="15.75" x14ac:dyDescent="0.25">
      <c r="D24" s="11" t="s">
        <v>40</v>
      </c>
      <c r="E24" s="35">
        <v>25</v>
      </c>
      <c r="F24" s="35">
        <v>2</v>
      </c>
      <c r="G24" s="35">
        <v>0.05</v>
      </c>
      <c r="H24" s="35">
        <v>0.05</v>
      </c>
      <c r="I24" s="35">
        <v>0.35</v>
      </c>
      <c r="J24" s="35">
        <v>7.0000000000000007E-2</v>
      </c>
      <c r="L24" s="15">
        <v>14</v>
      </c>
      <c r="M24" s="6" t="s">
        <v>112</v>
      </c>
      <c r="N24" s="11">
        <v>3</v>
      </c>
      <c r="O24" s="11" t="s">
        <v>100</v>
      </c>
    </row>
    <row r="25" spans="4:16" ht="15.75" x14ac:dyDescent="0.25">
      <c r="D25" s="11" t="s">
        <v>42</v>
      </c>
      <c r="E25" s="35">
        <v>25</v>
      </c>
      <c r="F25" s="35">
        <v>6</v>
      </c>
      <c r="G25" s="35">
        <v>0.33</v>
      </c>
      <c r="H25" s="35">
        <v>0.13</v>
      </c>
      <c r="I25" s="35">
        <v>1.18</v>
      </c>
      <c r="J25" s="35">
        <v>0.38</v>
      </c>
      <c r="L25" s="11">
        <v>15</v>
      </c>
      <c r="M25" s="6" t="s">
        <v>86</v>
      </c>
      <c r="N25" s="11">
        <v>0.5</v>
      </c>
      <c r="O25" s="11" t="s">
        <v>100</v>
      </c>
    </row>
    <row r="26" spans="4:16" ht="15.75" x14ac:dyDescent="0.25">
      <c r="D26" s="11" t="s">
        <v>132</v>
      </c>
      <c r="E26" s="35">
        <v>180</v>
      </c>
      <c r="F26" s="35">
        <v>50.4</v>
      </c>
      <c r="G26" s="35">
        <v>0.9</v>
      </c>
      <c r="H26" s="35">
        <v>0.36</v>
      </c>
      <c r="I26" s="35">
        <v>12.42</v>
      </c>
      <c r="J26" s="35">
        <v>0.72</v>
      </c>
      <c r="L26" s="11">
        <v>16</v>
      </c>
      <c r="M26" s="6" t="s">
        <v>128</v>
      </c>
      <c r="N26" s="11">
        <v>0.5</v>
      </c>
      <c r="O26" s="11" t="s">
        <v>100</v>
      </c>
    </row>
    <row r="27" spans="4:16" ht="15.75" x14ac:dyDescent="0.25">
      <c r="D27" s="11" t="s">
        <v>20</v>
      </c>
      <c r="E27" s="35">
        <v>7.5</v>
      </c>
      <c r="F27" s="35">
        <v>66.3</v>
      </c>
      <c r="G27" s="35">
        <v>0</v>
      </c>
      <c r="H27" s="35">
        <v>7.5</v>
      </c>
      <c r="I27" s="35">
        <v>0</v>
      </c>
      <c r="J27" s="35">
        <v>0</v>
      </c>
      <c r="L27" s="11">
        <v>17</v>
      </c>
      <c r="M27" s="6" t="s">
        <v>125</v>
      </c>
      <c r="N27" s="11"/>
      <c r="O27" s="11" t="s">
        <v>100</v>
      </c>
      <c r="P27" t="s">
        <v>188</v>
      </c>
    </row>
    <row r="28" spans="4:16" ht="15.75" x14ac:dyDescent="0.25">
      <c r="D28" s="40" t="s">
        <v>21</v>
      </c>
      <c r="E28" s="40"/>
      <c r="F28" s="47">
        <v>622.95000000000005</v>
      </c>
      <c r="G28" s="47">
        <v>18.079999999999998</v>
      </c>
      <c r="H28" s="47">
        <v>14.84</v>
      </c>
      <c r="I28" s="47">
        <v>104.93</v>
      </c>
      <c r="J28" s="47">
        <v>1.92</v>
      </c>
      <c r="L28" s="11">
        <v>18</v>
      </c>
      <c r="M28" s="6" t="s">
        <v>114</v>
      </c>
      <c r="N28" s="11">
        <v>15</v>
      </c>
      <c r="O28" s="11" t="s">
        <v>194</v>
      </c>
      <c r="P28" s="1" t="s">
        <v>195</v>
      </c>
    </row>
    <row r="29" spans="4:16" ht="15.75" x14ac:dyDescent="0.25">
      <c r="F29" s="34"/>
      <c r="G29" s="34"/>
      <c r="H29" s="34"/>
      <c r="I29" s="34"/>
      <c r="J29" s="34"/>
      <c r="L29" s="11">
        <v>19</v>
      </c>
      <c r="M29" s="6" t="s">
        <v>85</v>
      </c>
      <c r="N29" s="11">
        <v>2</v>
      </c>
      <c r="O29" s="11" t="s">
        <v>182</v>
      </c>
    </row>
    <row r="30" spans="4:16" x14ac:dyDescent="0.25">
      <c r="L30" s="11">
        <v>20</v>
      </c>
      <c r="M30" s="6" t="s">
        <v>199</v>
      </c>
      <c r="N30" s="11">
        <v>1</v>
      </c>
      <c r="O30" s="11" t="s">
        <v>187</v>
      </c>
    </row>
    <row r="31" spans="4:16" x14ac:dyDescent="0.25">
      <c r="L31" s="11">
        <v>21</v>
      </c>
      <c r="M31" s="6" t="s">
        <v>115</v>
      </c>
      <c r="N31" s="11"/>
      <c r="O31" s="11" t="s">
        <v>189</v>
      </c>
      <c r="P31" s="2" t="s">
        <v>188</v>
      </c>
    </row>
    <row r="32" spans="4:16" x14ac:dyDescent="0.25">
      <c r="L32" s="11">
        <v>22</v>
      </c>
      <c r="M32" s="6" t="s">
        <v>95</v>
      </c>
      <c r="N32" s="11">
        <v>30</v>
      </c>
      <c r="O32" s="11" t="s">
        <v>100</v>
      </c>
    </row>
    <row r="33" spans="12:15" x14ac:dyDescent="0.25">
      <c r="L33" s="11"/>
      <c r="M33" s="23" t="s">
        <v>221</v>
      </c>
      <c r="N33" s="11"/>
      <c r="O33" s="11"/>
    </row>
    <row r="34" spans="12:15" x14ac:dyDescent="0.25">
      <c r="L34" s="11">
        <v>23</v>
      </c>
      <c r="M34" s="6" t="s">
        <v>129</v>
      </c>
      <c r="N34" s="11">
        <v>30</v>
      </c>
      <c r="O34" s="11" t="s">
        <v>100</v>
      </c>
    </row>
    <row r="35" spans="12:15" x14ac:dyDescent="0.25">
      <c r="L35" s="11">
        <v>24</v>
      </c>
      <c r="M35" s="6" t="s">
        <v>130</v>
      </c>
      <c r="N35" s="11">
        <v>30</v>
      </c>
      <c r="O35" s="11" t="s">
        <v>100</v>
      </c>
    </row>
    <row r="36" spans="12:15" x14ac:dyDescent="0.25">
      <c r="L36" s="11"/>
      <c r="M36" s="23" t="s">
        <v>213</v>
      </c>
      <c r="N36" s="11"/>
      <c r="O36" s="11"/>
    </row>
    <row r="37" spans="12:15" x14ac:dyDescent="0.25">
      <c r="L37" s="11">
        <v>25</v>
      </c>
      <c r="M37" s="6" t="s">
        <v>131</v>
      </c>
      <c r="N37" s="11">
        <v>115</v>
      </c>
      <c r="O37" s="11" t="s">
        <v>100</v>
      </c>
    </row>
    <row r="38" spans="12:15" x14ac:dyDescent="0.25">
      <c r="L38" s="16"/>
    </row>
    <row r="39" spans="12:15" x14ac:dyDescent="0.25">
      <c r="L39" s="16"/>
    </row>
  </sheetData>
  <mergeCells count="8">
    <mergeCell ref="I19:I20"/>
    <mergeCell ref="B3:H3"/>
    <mergeCell ref="B4:H4"/>
    <mergeCell ref="D19:D20"/>
    <mergeCell ref="E19:E20"/>
    <mergeCell ref="F19:F20"/>
    <mergeCell ref="G19:G20"/>
    <mergeCell ref="H19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F1B9-FB88-49E3-9860-9CA627B83AC0}">
  <dimension ref="B3:P51"/>
  <sheetViews>
    <sheetView topLeftCell="A10" zoomScale="75" zoomScaleNormal="75" workbookViewId="0">
      <selection activeCell="N49" sqref="N49"/>
    </sheetView>
  </sheetViews>
  <sheetFormatPr defaultRowHeight="15" x14ac:dyDescent="0.25"/>
  <cols>
    <col min="2" max="2" width="24" customWidth="1"/>
    <col min="4" max="4" width="24.140625" customWidth="1"/>
    <col min="12" max="12" width="5.85546875" customWidth="1"/>
    <col min="13" max="13" width="31.5703125" customWidth="1"/>
    <col min="14" max="14" width="11.28515625" customWidth="1"/>
    <col min="15" max="15" width="14.140625" customWidth="1"/>
    <col min="16" max="16" width="19.42578125" customWidth="1"/>
  </cols>
  <sheetData>
    <row r="3" spans="2:16" x14ac:dyDescent="0.25">
      <c r="B3" s="59" t="s">
        <v>0</v>
      </c>
      <c r="C3" s="59"/>
      <c r="D3" s="59"/>
      <c r="E3" s="59"/>
      <c r="F3" s="59"/>
      <c r="G3" s="59"/>
      <c r="H3" s="59"/>
    </row>
    <row r="4" spans="2:16" x14ac:dyDescent="0.25">
      <c r="B4" s="60" t="s">
        <v>1</v>
      </c>
      <c r="C4" s="59"/>
      <c r="D4" s="59"/>
      <c r="E4" s="59"/>
      <c r="F4" s="59"/>
      <c r="G4" s="59"/>
      <c r="H4" s="59"/>
    </row>
    <row r="5" spans="2:16" x14ac:dyDescent="0.25">
      <c r="B5" s="3" t="s">
        <v>41</v>
      </c>
      <c r="D5" s="5" t="s">
        <v>13</v>
      </c>
      <c r="L5" s="5" t="s">
        <v>26</v>
      </c>
    </row>
    <row r="6" spans="2:16" x14ac:dyDescent="0.25">
      <c r="B6" t="s">
        <v>35</v>
      </c>
      <c r="D6" s="5" t="s">
        <v>12</v>
      </c>
      <c r="L6" s="29" t="s">
        <v>8</v>
      </c>
      <c r="M6" s="29" t="s">
        <v>9</v>
      </c>
      <c r="N6" s="29" t="s">
        <v>10</v>
      </c>
      <c r="O6" s="29" t="s">
        <v>11</v>
      </c>
    </row>
    <row r="7" spans="2:16" ht="15.75" thickBot="1" x14ac:dyDescent="0.3">
      <c r="D7" s="5"/>
      <c r="L7" s="31"/>
      <c r="M7" s="32" t="s">
        <v>222</v>
      </c>
      <c r="N7" s="31"/>
      <c r="O7" s="31"/>
    </row>
    <row r="8" spans="2:16" ht="28.5" x14ac:dyDescent="0.25">
      <c r="B8" t="s">
        <v>136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39" t="s">
        <v>23</v>
      </c>
      <c r="L8" s="30">
        <v>1</v>
      </c>
      <c r="M8" s="9" t="s">
        <v>80</v>
      </c>
      <c r="N8" s="27">
        <v>95</v>
      </c>
      <c r="O8" s="27" t="s">
        <v>100</v>
      </c>
    </row>
    <row r="9" spans="2:16" ht="15.75" x14ac:dyDescent="0.25">
      <c r="B9" t="s">
        <v>55</v>
      </c>
      <c r="D9" s="11" t="s">
        <v>48</v>
      </c>
      <c r="E9" s="43">
        <v>100</v>
      </c>
      <c r="F9" s="43">
        <v>180</v>
      </c>
      <c r="G9" s="43">
        <v>3</v>
      </c>
      <c r="H9" s="43">
        <v>0.3</v>
      </c>
      <c r="I9" s="43">
        <v>39.799999999999997</v>
      </c>
      <c r="J9" s="43">
        <v>0</v>
      </c>
      <c r="L9" s="13">
        <v>2</v>
      </c>
      <c r="M9" s="6" t="s">
        <v>133</v>
      </c>
      <c r="N9" s="11">
        <v>10</v>
      </c>
      <c r="O9" s="11" t="s">
        <v>100</v>
      </c>
    </row>
    <row r="10" spans="2:16" ht="15.75" x14ac:dyDescent="0.25">
      <c r="B10" t="s">
        <v>44</v>
      </c>
      <c r="D10" s="11" t="s">
        <v>32</v>
      </c>
      <c r="E10" s="43">
        <v>40</v>
      </c>
      <c r="F10" s="43">
        <v>119.2</v>
      </c>
      <c r="G10" s="43">
        <v>7.28</v>
      </c>
      <c r="H10" s="43">
        <v>10</v>
      </c>
      <c r="I10" s="43">
        <v>0</v>
      </c>
      <c r="J10" s="43">
        <v>0</v>
      </c>
      <c r="L10" s="13">
        <v>3</v>
      </c>
      <c r="M10" s="6" t="s">
        <v>134</v>
      </c>
      <c r="N10" s="11">
        <v>5</v>
      </c>
      <c r="O10" s="11" t="s">
        <v>100</v>
      </c>
    </row>
    <row r="11" spans="2:16" ht="15.75" x14ac:dyDescent="0.25">
      <c r="B11" t="s">
        <v>43</v>
      </c>
      <c r="D11" s="11" t="s">
        <v>141</v>
      </c>
      <c r="E11" s="43">
        <v>27.5</v>
      </c>
      <c r="F11" s="43">
        <v>22</v>
      </c>
      <c r="G11" s="43">
        <v>3</v>
      </c>
      <c r="H11" s="43">
        <v>1.29</v>
      </c>
      <c r="I11" s="43">
        <v>0.22</v>
      </c>
      <c r="J11" s="43">
        <v>0.03</v>
      </c>
      <c r="L11" s="13">
        <v>4</v>
      </c>
      <c r="M11" s="6" t="s">
        <v>135</v>
      </c>
      <c r="N11" s="11">
        <v>2</v>
      </c>
      <c r="O11" s="11" t="s">
        <v>100</v>
      </c>
    </row>
    <row r="12" spans="2:16" ht="15.75" x14ac:dyDescent="0.25">
      <c r="D12" s="11" t="s">
        <v>46</v>
      </c>
      <c r="E12" s="43">
        <v>15</v>
      </c>
      <c r="F12" s="43">
        <v>5.0999999999999996</v>
      </c>
      <c r="G12" s="43">
        <v>0.36</v>
      </c>
      <c r="H12" s="43">
        <v>0.04</v>
      </c>
      <c r="I12" s="43">
        <v>1.08</v>
      </c>
      <c r="J12" s="43">
        <v>0.28000000000000003</v>
      </c>
      <c r="L12" s="13">
        <v>5</v>
      </c>
      <c r="M12" s="6" t="s">
        <v>82</v>
      </c>
      <c r="N12" s="11">
        <v>2</v>
      </c>
      <c r="O12" s="11" t="s">
        <v>100</v>
      </c>
    </row>
    <row r="13" spans="2:16" ht="15.75" x14ac:dyDescent="0.25">
      <c r="D13" s="11" t="s">
        <v>47</v>
      </c>
      <c r="E13" s="43">
        <v>20</v>
      </c>
      <c r="F13" s="43">
        <v>29.4</v>
      </c>
      <c r="G13" s="43">
        <v>1.02</v>
      </c>
      <c r="H13" s="43">
        <v>0.14000000000000001</v>
      </c>
      <c r="I13" s="43">
        <v>6.3</v>
      </c>
      <c r="J13" s="43">
        <v>0.26</v>
      </c>
      <c r="L13" s="13">
        <v>6</v>
      </c>
      <c r="M13" s="6" t="s">
        <v>117</v>
      </c>
      <c r="N13" s="11">
        <v>1</v>
      </c>
      <c r="O13" s="11" t="s">
        <v>100</v>
      </c>
    </row>
    <row r="14" spans="2:16" ht="15.75" x14ac:dyDescent="0.25">
      <c r="D14" s="11" t="s">
        <v>45</v>
      </c>
      <c r="E14" s="43">
        <v>15</v>
      </c>
      <c r="F14" s="43">
        <v>5.4</v>
      </c>
      <c r="G14" s="43">
        <v>0.15</v>
      </c>
      <c r="H14" s="43">
        <v>0.09</v>
      </c>
      <c r="I14" s="43">
        <v>1.19</v>
      </c>
      <c r="J14" s="43">
        <v>0.15</v>
      </c>
      <c r="L14" s="11">
        <v>7</v>
      </c>
      <c r="M14" s="6" t="s">
        <v>113</v>
      </c>
      <c r="N14" s="11">
        <v>0.5</v>
      </c>
      <c r="O14" s="11" t="s">
        <v>100</v>
      </c>
    </row>
    <row r="15" spans="2:16" ht="15.75" x14ac:dyDescent="0.25">
      <c r="D15" s="11" t="s">
        <v>43</v>
      </c>
      <c r="E15" s="43">
        <v>32</v>
      </c>
      <c r="F15" s="43">
        <v>24.64</v>
      </c>
      <c r="G15" s="43">
        <v>0.13</v>
      </c>
      <c r="H15" s="43">
        <v>0</v>
      </c>
      <c r="I15" s="43">
        <v>6.69</v>
      </c>
      <c r="J15" s="43">
        <v>0</v>
      </c>
      <c r="L15" s="11">
        <v>8</v>
      </c>
      <c r="M15" s="6" t="s">
        <v>183</v>
      </c>
      <c r="N15" s="11">
        <v>1</v>
      </c>
      <c r="O15" s="11" t="s">
        <v>184</v>
      </c>
    </row>
    <row r="16" spans="2:16" ht="15.75" x14ac:dyDescent="0.25">
      <c r="D16" s="11" t="s">
        <v>20</v>
      </c>
      <c r="E16" s="43">
        <v>5</v>
      </c>
      <c r="F16" s="43">
        <v>44.2</v>
      </c>
      <c r="G16" s="43">
        <v>0</v>
      </c>
      <c r="H16" s="43">
        <v>5</v>
      </c>
      <c r="I16" s="43">
        <v>0</v>
      </c>
      <c r="J16" s="43">
        <v>0</v>
      </c>
      <c r="L16" s="11">
        <v>9</v>
      </c>
      <c r="M16" s="6" t="s">
        <v>114</v>
      </c>
      <c r="N16" s="11">
        <v>17</v>
      </c>
      <c r="O16" s="11" t="s">
        <v>194</v>
      </c>
      <c r="P16" s="1" t="s">
        <v>195</v>
      </c>
    </row>
    <row r="17" spans="4:16" ht="15.75" x14ac:dyDescent="0.25">
      <c r="D17" s="40" t="s">
        <v>21</v>
      </c>
      <c r="E17" s="40"/>
      <c r="F17" s="48">
        <v>429.94</v>
      </c>
      <c r="G17" s="48">
        <v>14.94</v>
      </c>
      <c r="H17" s="48">
        <v>16.86</v>
      </c>
      <c r="I17" s="48">
        <v>55.28</v>
      </c>
      <c r="J17" s="48">
        <v>0.72</v>
      </c>
      <c r="L17" s="14">
        <v>10</v>
      </c>
      <c r="M17" s="6" t="s">
        <v>84</v>
      </c>
      <c r="N17" s="11">
        <v>1</v>
      </c>
      <c r="O17" s="11" t="s">
        <v>189</v>
      </c>
      <c r="P17" s="2" t="s">
        <v>190</v>
      </c>
    </row>
    <row r="18" spans="4:16" ht="15.75" x14ac:dyDescent="0.25">
      <c r="F18" s="34"/>
      <c r="G18" s="34"/>
      <c r="H18" s="34"/>
      <c r="I18" s="34"/>
      <c r="J18" s="34"/>
      <c r="L18" s="14">
        <v>11</v>
      </c>
      <c r="M18" s="6" t="s">
        <v>85</v>
      </c>
      <c r="N18" s="11">
        <v>2</v>
      </c>
      <c r="O18" s="11" t="s">
        <v>200</v>
      </c>
    </row>
    <row r="19" spans="4:16" ht="15.75" x14ac:dyDescent="0.25">
      <c r="D19" s="8" t="s">
        <v>24</v>
      </c>
      <c r="L19" s="14">
        <v>12</v>
      </c>
      <c r="M19" s="6" t="s">
        <v>112</v>
      </c>
      <c r="N19" s="11">
        <v>2</v>
      </c>
      <c r="O19" s="11" t="s">
        <v>100</v>
      </c>
    </row>
    <row r="20" spans="4:16" ht="28.5" x14ac:dyDescent="0.25">
      <c r="D20" s="39" t="s">
        <v>14</v>
      </c>
      <c r="E20" s="39" t="s">
        <v>15</v>
      </c>
      <c r="F20" s="39" t="s">
        <v>16</v>
      </c>
      <c r="G20" s="39" t="s">
        <v>17</v>
      </c>
      <c r="H20" s="39" t="s">
        <v>18</v>
      </c>
      <c r="I20" s="39" t="s">
        <v>19</v>
      </c>
      <c r="J20" s="39" t="s">
        <v>23</v>
      </c>
      <c r="L20" s="14">
        <v>13</v>
      </c>
      <c r="M20" s="6" t="s">
        <v>95</v>
      </c>
      <c r="N20" s="11">
        <v>10</v>
      </c>
      <c r="O20" s="11" t="s">
        <v>100</v>
      </c>
    </row>
    <row r="21" spans="4:16" ht="15.75" x14ac:dyDescent="0.25">
      <c r="D21" s="11" t="s">
        <v>48</v>
      </c>
      <c r="E21" s="43">
        <v>200</v>
      </c>
      <c r="F21" s="43">
        <v>360</v>
      </c>
      <c r="G21" s="43">
        <v>6</v>
      </c>
      <c r="H21" s="43">
        <v>0.6</v>
      </c>
      <c r="I21" s="43">
        <v>79.599999999999994</v>
      </c>
      <c r="J21" s="43">
        <v>0</v>
      </c>
      <c r="L21" s="14"/>
      <c r="M21" s="23" t="s">
        <v>223</v>
      </c>
      <c r="N21" s="11"/>
      <c r="O21" s="11"/>
    </row>
    <row r="22" spans="4:16" ht="15" customHeight="1" x14ac:dyDescent="0.25">
      <c r="D22" s="11" t="s">
        <v>32</v>
      </c>
      <c r="E22" s="43">
        <v>60</v>
      </c>
      <c r="F22" s="43">
        <v>178.8</v>
      </c>
      <c r="G22" s="43">
        <v>10.92</v>
      </c>
      <c r="H22" s="43">
        <v>15</v>
      </c>
      <c r="I22" s="43">
        <v>0</v>
      </c>
      <c r="J22" s="43">
        <v>0</v>
      </c>
      <c r="L22" s="14">
        <v>14</v>
      </c>
      <c r="M22" s="6" t="s">
        <v>137</v>
      </c>
      <c r="N22" s="11">
        <v>174</v>
      </c>
      <c r="O22" s="11" t="s">
        <v>81</v>
      </c>
    </row>
    <row r="23" spans="4:16" ht="15.75" x14ac:dyDescent="0.25">
      <c r="D23" s="11" t="s">
        <v>141</v>
      </c>
      <c r="E23" s="43">
        <v>55</v>
      </c>
      <c r="F23" s="43">
        <v>44</v>
      </c>
      <c r="G23" s="43">
        <v>6</v>
      </c>
      <c r="H23" s="43">
        <v>2.58</v>
      </c>
      <c r="I23" s="43">
        <v>0.44</v>
      </c>
      <c r="J23" s="43">
        <v>0.06</v>
      </c>
      <c r="L23" s="14">
        <v>15</v>
      </c>
      <c r="M23" s="6" t="s">
        <v>82</v>
      </c>
      <c r="N23" s="11">
        <v>1</v>
      </c>
      <c r="O23" s="11" t="s">
        <v>100</v>
      </c>
    </row>
    <row r="24" spans="4:16" ht="15.75" x14ac:dyDescent="0.25">
      <c r="D24" s="11" t="s">
        <v>46</v>
      </c>
      <c r="E24" s="43">
        <v>15</v>
      </c>
      <c r="F24" s="43">
        <v>5.0999999999999996</v>
      </c>
      <c r="G24" s="43">
        <v>0.36</v>
      </c>
      <c r="H24" s="43">
        <v>0.04</v>
      </c>
      <c r="I24" s="43">
        <v>1.08</v>
      </c>
      <c r="J24" s="43">
        <v>0.28000000000000003</v>
      </c>
      <c r="L24" s="15">
        <v>16</v>
      </c>
      <c r="M24" s="6" t="s">
        <v>117</v>
      </c>
      <c r="N24" s="11">
        <v>0.5</v>
      </c>
      <c r="O24" s="11" t="s">
        <v>100</v>
      </c>
    </row>
    <row r="25" spans="4:16" ht="15.75" x14ac:dyDescent="0.25">
      <c r="D25" s="11" t="s">
        <v>47</v>
      </c>
      <c r="E25" s="43">
        <v>20</v>
      </c>
      <c r="F25" s="43">
        <v>29.4</v>
      </c>
      <c r="G25" s="43">
        <v>1.02</v>
      </c>
      <c r="H25" s="43">
        <v>0.14000000000000001</v>
      </c>
      <c r="I25" s="43">
        <v>6.3</v>
      </c>
      <c r="J25" s="43">
        <v>0.26</v>
      </c>
      <c r="L25" s="11">
        <v>17</v>
      </c>
      <c r="M25" s="6" t="s">
        <v>123</v>
      </c>
      <c r="N25" s="11">
        <v>0.5</v>
      </c>
      <c r="O25" s="11" t="s">
        <v>100</v>
      </c>
    </row>
    <row r="26" spans="4:16" ht="15.75" x14ac:dyDescent="0.25">
      <c r="D26" s="11" t="s">
        <v>45</v>
      </c>
      <c r="E26" s="43">
        <v>15</v>
      </c>
      <c r="F26" s="43">
        <v>5.4</v>
      </c>
      <c r="G26" s="43">
        <v>0.15</v>
      </c>
      <c r="H26" s="43">
        <v>0.09</v>
      </c>
      <c r="I26" s="43">
        <v>1.19</v>
      </c>
      <c r="J26" s="43">
        <v>0.15</v>
      </c>
      <c r="L26" s="11">
        <v>18</v>
      </c>
      <c r="M26" s="6" t="s">
        <v>108</v>
      </c>
      <c r="N26" s="11">
        <v>0.5</v>
      </c>
      <c r="O26" s="11" t="s">
        <v>100</v>
      </c>
    </row>
    <row r="27" spans="4:16" ht="15.75" x14ac:dyDescent="0.25">
      <c r="D27" s="11" t="s">
        <v>43</v>
      </c>
      <c r="E27" s="43">
        <v>32</v>
      </c>
      <c r="F27" s="43">
        <v>24.64</v>
      </c>
      <c r="G27" s="43">
        <v>0.13</v>
      </c>
      <c r="H27" s="43">
        <v>0</v>
      </c>
      <c r="I27" s="43">
        <v>6.69</v>
      </c>
      <c r="J27" s="43">
        <v>0</v>
      </c>
      <c r="L27" s="11">
        <v>19</v>
      </c>
      <c r="M27" s="6" t="s">
        <v>138</v>
      </c>
      <c r="N27" s="11">
        <v>1</v>
      </c>
      <c r="O27" s="11" t="s">
        <v>100</v>
      </c>
    </row>
    <row r="28" spans="4:16" ht="15.75" x14ac:dyDescent="0.25">
      <c r="D28" s="11" t="s">
        <v>20</v>
      </c>
      <c r="E28" s="43">
        <v>7.5</v>
      </c>
      <c r="F28" s="43">
        <v>66.3</v>
      </c>
      <c r="G28" s="43">
        <v>0</v>
      </c>
      <c r="H28" s="43">
        <v>7.5</v>
      </c>
      <c r="I28" s="43">
        <v>0</v>
      </c>
      <c r="J28" s="43">
        <v>0</v>
      </c>
      <c r="L28" s="11">
        <v>20</v>
      </c>
      <c r="M28" s="6" t="s">
        <v>128</v>
      </c>
      <c r="N28" s="11">
        <v>1.5</v>
      </c>
      <c r="O28" s="11" t="s">
        <v>100</v>
      </c>
    </row>
    <row r="29" spans="4:16" ht="15.75" x14ac:dyDescent="0.25">
      <c r="D29" s="40" t="s">
        <v>21</v>
      </c>
      <c r="E29" s="49"/>
      <c r="F29" s="48">
        <v>713.64</v>
      </c>
      <c r="G29" s="48">
        <v>24.58</v>
      </c>
      <c r="H29" s="48">
        <v>25.95</v>
      </c>
      <c r="I29" s="48">
        <v>95.3</v>
      </c>
      <c r="J29" s="48">
        <v>0.75</v>
      </c>
      <c r="L29" s="11">
        <v>21</v>
      </c>
      <c r="M29" s="6" t="s">
        <v>125</v>
      </c>
      <c r="N29" s="11">
        <v>0.5</v>
      </c>
      <c r="O29" s="11" t="s">
        <v>100</v>
      </c>
    </row>
    <row r="30" spans="4:16" ht="15.75" x14ac:dyDescent="0.25">
      <c r="D30" s="10"/>
      <c r="F30" s="34"/>
      <c r="G30" s="34"/>
      <c r="H30" s="34"/>
      <c r="I30" s="34"/>
      <c r="J30" s="34"/>
      <c r="L30" s="11">
        <v>22</v>
      </c>
      <c r="M30" s="6" t="s">
        <v>88</v>
      </c>
      <c r="N30" s="11">
        <v>0.5</v>
      </c>
      <c r="O30" s="11" t="s">
        <v>100</v>
      </c>
    </row>
    <row r="31" spans="4:16" x14ac:dyDescent="0.25">
      <c r="L31" s="11">
        <v>23</v>
      </c>
      <c r="M31" s="6" t="s">
        <v>97</v>
      </c>
      <c r="N31" s="11">
        <v>3</v>
      </c>
      <c r="O31" s="11" t="s">
        <v>187</v>
      </c>
    </row>
    <row r="32" spans="4:16" x14ac:dyDescent="0.25">
      <c r="D32" s="10"/>
      <c r="L32" s="11">
        <v>24</v>
      </c>
      <c r="M32" s="6" t="s">
        <v>95</v>
      </c>
      <c r="N32" s="11">
        <v>20</v>
      </c>
      <c r="O32" s="11" t="s">
        <v>100</v>
      </c>
    </row>
    <row r="33" spans="12:16" x14ac:dyDescent="0.25">
      <c r="L33" s="11"/>
      <c r="M33" s="2" t="s">
        <v>216</v>
      </c>
      <c r="N33" s="11"/>
      <c r="O33" s="11"/>
    </row>
    <row r="34" spans="12:16" x14ac:dyDescent="0.25">
      <c r="L34" s="11">
        <v>25</v>
      </c>
      <c r="M34" s="12" t="s">
        <v>139</v>
      </c>
      <c r="N34" s="20">
        <v>12</v>
      </c>
      <c r="O34" s="20" t="s">
        <v>185</v>
      </c>
      <c r="P34" s="1" t="s">
        <v>201</v>
      </c>
    </row>
    <row r="35" spans="12:16" x14ac:dyDescent="0.25">
      <c r="L35" s="11">
        <v>26</v>
      </c>
      <c r="M35" s="12" t="s">
        <v>191</v>
      </c>
      <c r="N35" s="11">
        <v>3</v>
      </c>
      <c r="O35" s="11" t="s">
        <v>100</v>
      </c>
    </row>
    <row r="36" spans="12:16" x14ac:dyDescent="0.25">
      <c r="L36" s="11">
        <v>27</v>
      </c>
      <c r="M36" s="12" t="s">
        <v>90</v>
      </c>
      <c r="N36" s="11"/>
      <c r="O36" s="11" t="s">
        <v>189</v>
      </c>
      <c r="P36" s="1" t="s">
        <v>188</v>
      </c>
    </row>
    <row r="37" spans="12:16" x14ac:dyDescent="0.25">
      <c r="L37" s="11">
        <v>28</v>
      </c>
      <c r="M37" s="12" t="s">
        <v>91</v>
      </c>
      <c r="N37" s="11"/>
      <c r="O37" s="11" t="s">
        <v>189</v>
      </c>
      <c r="P37" s="1" t="s">
        <v>188</v>
      </c>
    </row>
    <row r="38" spans="12:16" x14ac:dyDescent="0.25">
      <c r="L38" s="11">
        <v>29</v>
      </c>
      <c r="M38" s="12" t="s">
        <v>20</v>
      </c>
      <c r="N38" s="11">
        <v>10</v>
      </c>
      <c r="O38" s="11" t="s">
        <v>100</v>
      </c>
    </row>
    <row r="39" spans="12:16" x14ac:dyDescent="0.25">
      <c r="L39" s="11"/>
      <c r="M39" s="2" t="s">
        <v>224</v>
      </c>
      <c r="N39" s="11"/>
      <c r="O39" s="11"/>
    </row>
    <row r="40" spans="12:16" x14ac:dyDescent="0.25">
      <c r="L40" s="11">
        <v>30</v>
      </c>
      <c r="M40" s="6" t="s">
        <v>133</v>
      </c>
      <c r="N40" s="11">
        <v>25</v>
      </c>
      <c r="O40" s="11" t="s">
        <v>100</v>
      </c>
    </row>
    <row r="41" spans="12:16" x14ac:dyDescent="0.25">
      <c r="L41" s="11">
        <v>31</v>
      </c>
      <c r="M41" s="6" t="s">
        <v>134</v>
      </c>
      <c r="N41" s="11">
        <v>30</v>
      </c>
      <c r="O41" s="11" t="s">
        <v>100</v>
      </c>
    </row>
    <row r="42" spans="12:16" x14ac:dyDescent="0.25">
      <c r="L42" s="11">
        <v>32</v>
      </c>
      <c r="M42" s="6" t="s">
        <v>135</v>
      </c>
      <c r="N42" s="11">
        <v>30</v>
      </c>
      <c r="O42" s="11" t="s">
        <v>100</v>
      </c>
    </row>
    <row r="43" spans="12:16" x14ac:dyDescent="0.25">
      <c r="L43" s="11">
        <v>33</v>
      </c>
      <c r="M43" s="6" t="s">
        <v>82</v>
      </c>
      <c r="N43" s="11">
        <v>0.5</v>
      </c>
      <c r="O43" s="11" t="s">
        <v>100</v>
      </c>
    </row>
    <row r="44" spans="12:16" x14ac:dyDescent="0.25">
      <c r="L44" s="11">
        <v>34</v>
      </c>
      <c r="M44" s="6" t="s">
        <v>117</v>
      </c>
      <c r="N44" s="11">
        <v>0.5</v>
      </c>
      <c r="O44" s="11" t="s">
        <v>100</v>
      </c>
    </row>
    <row r="45" spans="12:16" x14ac:dyDescent="0.25">
      <c r="L45" s="11">
        <v>35</v>
      </c>
      <c r="M45" s="6" t="s">
        <v>86</v>
      </c>
      <c r="N45" s="11"/>
      <c r="O45" s="11" t="s">
        <v>100</v>
      </c>
      <c r="P45" t="s">
        <v>196</v>
      </c>
    </row>
    <row r="46" spans="12:16" x14ac:dyDescent="0.25">
      <c r="L46" s="11">
        <v>36</v>
      </c>
      <c r="M46" s="6" t="s">
        <v>85</v>
      </c>
      <c r="N46" s="11">
        <v>3</v>
      </c>
      <c r="O46" s="11" t="s">
        <v>182</v>
      </c>
    </row>
    <row r="47" spans="12:16" x14ac:dyDescent="0.25">
      <c r="L47" s="11">
        <v>37</v>
      </c>
      <c r="M47" s="6" t="s">
        <v>83</v>
      </c>
      <c r="N47" s="11"/>
      <c r="O47" s="11" t="s">
        <v>187</v>
      </c>
      <c r="P47" s="1" t="s">
        <v>188</v>
      </c>
    </row>
    <row r="48" spans="12:16" x14ac:dyDescent="0.25">
      <c r="L48" s="11">
        <v>38</v>
      </c>
      <c r="M48" s="6" t="s">
        <v>84</v>
      </c>
      <c r="N48" s="11"/>
      <c r="O48" s="11" t="s">
        <v>189</v>
      </c>
      <c r="P48" s="2" t="s">
        <v>188</v>
      </c>
    </row>
    <row r="49" spans="12:15" x14ac:dyDescent="0.25">
      <c r="L49" s="11">
        <v>39</v>
      </c>
      <c r="M49" s="6" t="s">
        <v>95</v>
      </c>
      <c r="N49" s="11">
        <v>5</v>
      </c>
      <c r="O49" s="11" t="s">
        <v>100</v>
      </c>
    </row>
    <row r="50" spans="12:15" x14ac:dyDescent="0.25">
      <c r="L50" s="11"/>
      <c r="M50" s="23" t="s">
        <v>213</v>
      </c>
      <c r="N50" s="11"/>
      <c r="O50" s="11"/>
    </row>
    <row r="51" spans="12:15" x14ac:dyDescent="0.25">
      <c r="L51" s="11">
        <v>40</v>
      </c>
      <c r="M51" s="6" t="s">
        <v>140</v>
      </c>
      <c r="N51" s="11">
        <v>75</v>
      </c>
      <c r="O51" s="11" t="s">
        <v>100</v>
      </c>
    </row>
  </sheetData>
  <mergeCells count="2">
    <mergeCell ref="B3:H3"/>
    <mergeCell ref="B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0B35-9150-45BC-8518-4395BC148FFD}">
  <dimension ref="B3:P54"/>
  <sheetViews>
    <sheetView topLeftCell="A5" zoomScale="75" zoomScaleNormal="75" workbookViewId="0">
      <selection activeCell="M37" sqref="M37"/>
    </sheetView>
  </sheetViews>
  <sheetFormatPr defaultRowHeight="15" x14ac:dyDescent="0.25"/>
  <cols>
    <col min="2" max="2" width="21.85546875" customWidth="1"/>
    <col min="4" max="4" width="22.42578125" customWidth="1"/>
    <col min="13" max="13" width="32.28515625" customWidth="1"/>
    <col min="14" max="14" width="14.42578125" customWidth="1"/>
    <col min="15" max="15" width="15.28515625" customWidth="1"/>
    <col min="16" max="16" width="30.85546875" customWidth="1"/>
  </cols>
  <sheetData>
    <row r="3" spans="2:16" x14ac:dyDescent="0.25">
      <c r="B3" s="59" t="s">
        <v>0</v>
      </c>
      <c r="C3" s="59"/>
      <c r="D3" s="59"/>
      <c r="E3" s="59"/>
      <c r="F3" s="59"/>
      <c r="G3" s="59"/>
      <c r="H3" s="59"/>
    </row>
    <row r="4" spans="2:16" x14ac:dyDescent="0.25">
      <c r="B4" s="60" t="s">
        <v>1</v>
      </c>
      <c r="C4" s="59"/>
      <c r="D4" s="59"/>
      <c r="E4" s="59"/>
      <c r="F4" s="59"/>
      <c r="G4" s="59"/>
      <c r="H4" s="59"/>
    </row>
    <row r="5" spans="2:16" x14ac:dyDescent="0.25">
      <c r="B5" s="3" t="s">
        <v>54</v>
      </c>
      <c r="D5" s="5" t="s">
        <v>13</v>
      </c>
      <c r="L5" s="5" t="s">
        <v>26</v>
      </c>
    </row>
    <row r="6" spans="2:16" x14ac:dyDescent="0.25">
      <c r="B6" t="s">
        <v>4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6" ht="15.75" thickBot="1" x14ac:dyDescent="0.3">
      <c r="D7" s="5"/>
      <c r="L7" s="13">
        <v>1</v>
      </c>
      <c r="M7" s="6" t="s">
        <v>121</v>
      </c>
      <c r="N7" s="11">
        <v>95</v>
      </c>
      <c r="O7" s="11" t="s">
        <v>100</v>
      </c>
    </row>
    <row r="8" spans="2:16" ht="28.5" x14ac:dyDescent="0.25">
      <c r="B8" t="s">
        <v>50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46" t="s">
        <v>23</v>
      </c>
      <c r="L8" s="13"/>
      <c r="M8" s="23" t="s">
        <v>225</v>
      </c>
      <c r="N8" s="11"/>
      <c r="O8" s="11"/>
    </row>
    <row r="9" spans="2:16" ht="15.75" x14ac:dyDescent="0.25">
      <c r="B9" t="s">
        <v>51</v>
      </c>
      <c r="D9" s="11" t="s">
        <v>48</v>
      </c>
      <c r="E9" s="35">
        <v>100</v>
      </c>
      <c r="F9" s="35">
        <v>180</v>
      </c>
      <c r="G9" s="35">
        <v>3</v>
      </c>
      <c r="H9" s="35">
        <v>0.3</v>
      </c>
      <c r="I9" s="35">
        <v>39.799999999999997</v>
      </c>
      <c r="J9" s="35">
        <v>0</v>
      </c>
      <c r="L9" s="13">
        <v>2</v>
      </c>
      <c r="M9" s="6" t="s">
        <v>142</v>
      </c>
      <c r="N9" s="20">
        <v>150</v>
      </c>
      <c r="O9" s="20" t="s">
        <v>100</v>
      </c>
      <c r="P9" s="1" t="s">
        <v>202</v>
      </c>
    </row>
    <row r="10" spans="2:16" ht="15.75" x14ac:dyDescent="0.25">
      <c r="B10" t="s">
        <v>52</v>
      </c>
      <c r="D10" s="11" t="s">
        <v>147</v>
      </c>
      <c r="E10" s="35">
        <v>40</v>
      </c>
      <c r="F10" s="35">
        <v>38.4</v>
      </c>
      <c r="G10" s="35">
        <v>8.0299999999999994</v>
      </c>
      <c r="H10" s="35">
        <v>0.68</v>
      </c>
      <c r="I10" s="35">
        <v>0</v>
      </c>
      <c r="J10" s="35">
        <v>0</v>
      </c>
      <c r="L10" s="13">
        <v>3</v>
      </c>
      <c r="M10" s="6" t="s">
        <v>143</v>
      </c>
      <c r="N10" s="11">
        <v>7</v>
      </c>
      <c r="O10" s="11" t="s">
        <v>100</v>
      </c>
    </row>
    <row r="11" spans="2:16" ht="15.75" x14ac:dyDescent="0.25">
      <c r="B11" t="s">
        <v>53</v>
      </c>
      <c r="D11" s="11" t="s">
        <v>33</v>
      </c>
      <c r="E11" s="35">
        <v>12.5</v>
      </c>
      <c r="F11" s="35">
        <v>25.13</v>
      </c>
      <c r="G11" s="35">
        <v>2.6</v>
      </c>
      <c r="H11" s="35">
        <v>1.1000000000000001</v>
      </c>
      <c r="I11" s="35">
        <v>1.69</v>
      </c>
      <c r="J11" s="35">
        <v>0.17</v>
      </c>
      <c r="L11" s="13">
        <v>4</v>
      </c>
      <c r="M11" s="6" t="s">
        <v>144</v>
      </c>
      <c r="N11" s="11">
        <v>2</v>
      </c>
      <c r="O11" s="11" t="s">
        <v>100</v>
      </c>
    </row>
    <row r="12" spans="2:16" ht="15.75" x14ac:dyDescent="0.25">
      <c r="D12" s="11" t="s">
        <v>148</v>
      </c>
      <c r="E12" s="35">
        <v>50</v>
      </c>
      <c r="F12" s="35">
        <v>4.5</v>
      </c>
      <c r="G12" s="35">
        <v>0.5</v>
      </c>
      <c r="H12" s="35">
        <v>0.05</v>
      </c>
      <c r="I12" s="35">
        <v>0.85</v>
      </c>
      <c r="J12" s="35">
        <v>0.4</v>
      </c>
      <c r="L12" s="13">
        <v>5</v>
      </c>
      <c r="M12" s="6" t="s">
        <v>117</v>
      </c>
      <c r="N12" s="11">
        <v>2.5</v>
      </c>
      <c r="O12" s="11" t="s">
        <v>100</v>
      </c>
    </row>
    <row r="13" spans="2:16" ht="15.75" x14ac:dyDescent="0.25">
      <c r="D13" s="11" t="s">
        <v>149</v>
      </c>
      <c r="E13" s="35">
        <v>60</v>
      </c>
      <c r="F13" s="35">
        <v>37.799999999999997</v>
      </c>
      <c r="G13" s="35">
        <v>0.6</v>
      </c>
      <c r="H13" s="35">
        <v>0.12</v>
      </c>
      <c r="I13" s="35">
        <v>9.66</v>
      </c>
      <c r="J13" s="35">
        <v>2.58</v>
      </c>
      <c r="L13" s="13">
        <v>6</v>
      </c>
      <c r="M13" s="6" t="s">
        <v>112</v>
      </c>
      <c r="N13" s="11">
        <v>3</v>
      </c>
      <c r="O13" s="11" t="s">
        <v>100</v>
      </c>
    </row>
    <row r="14" spans="2:16" ht="15.75" x14ac:dyDescent="0.25">
      <c r="D14" s="11" t="s">
        <v>20</v>
      </c>
      <c r="E14" s="35">
        <v>5</v>
      </c>
      <c r="F14" s="35">
        <v>44.2</v>
      </c>
      <c r="G14" s="35">
        <v>0</v>
      </c>
      <c r="H14" s="35">
        <v>5</v>
      </c>
      <c r="I14" s="35">
        <v>0</v>
      </c>
      <c r="J14" s="35">
        <v>0</v>
      </c>
      <c r="L14" s="11">
        <v>7</v>
      </c>
      <c r="M14" s="6" t="s">
        <v>130</v>
      </c>
      <c r="N14" s="11">
        <v>20</v>
      </c>
      <c r="O14" s="11" t="s">
        <v>100</v>
      </c>
    </row>
    <row r="15" spans="2:16" ht="15.75" x14ac:dyDescent="0.25">
      <c r="D15" s="40" t="s">
        <v>21</v>
      </c>
      <c r="E15" s="40"/>
      <c r="F15" s="47">
        <v>330.03</v>
      </c>
      <c r="G15" s="47">
        <v>14.73</v>
      </c>
      <c r="H15" s="47">
        <v>7.25</v>
      </c>
      <c r="I15" s="47">
        <v>52</v>
      </c>
      <c r="J15" s="47">
        <v>3.15</v>
      </c>
      <c r="L15" s="11">
        <v>8</v>
      </c>
      <c r="M15" s="6" t="s">
        <v>120</v>
      </c>
      <c r="N15" s="11">
        <v>3</v>
      </c>
      <c r="O15" s="11" t="s">
        <v>182</v>
      </c>
    </row>
    <row r="16" spans="2:16" ht="15.75" x14ac:dyDescent="0.25">
      <c r="F16" s="34"/>
      <c r="G16" s="34"/>
      <c r="H16" s="34"/>
      <c r="I16" s="34"/>
      <c r="J16" s="34"/>
      <c r="L16" s="11">
        <v>9</v>
      </c>
      <c r="M16" s="6" t="s">
        <v>183</v>
      </c>
      <c r="N16" s="11">
        <v>1</v>
      </c>
      <c r="O16" s="11" t="s">
        <v>184</v>
      </c>
    </row>
    <row r="17" spans="4:16" x14ac:dyDescent="0.25">
      <c r="L17" s="11">
        <v>10</v>
      </c>
      <c r="M17" s="6" t="s">
        <v>113</v>
      </c>
      <c r="N17" s="11">
        <v>0.5</v>
      </c>
      <c r="O17" s="11" t="s">
        <v>100</v>
      </c>
    </row>
    <row r="18" spans="4:16" ht="15.75" x14ac:dyDescent="0.25">
      <c r="D18" s="8" t="s">
        <v>24</v>
      </c>
      <c r="L18" s="11">
        <v>11</v>
      </c>
      <c r="M18" s="6" t="s">
        <v>154</v>
      </c>
      <c r="N18" s="11">
        <v>3</v>
      </c>
      <c r="O18" s="11" t="s">
        <v>100</v>
      </c>
    </row>
    <row r="19" spans="4:16" ht="28.5" x14ac:dyDescent="0.25">
      <c r="D19" s="39" t="s">
        <v>14</v>
      </c>
      <c r="E19" s="39" t="s">
        <v>15</v>
      </c>
      <c r="F19" s="39" t="s">
        <v>16</v>
      </c>
      <c r="G19" s="39" t="s">
        <v>17</v>
      </c>
      <c r="H19" s="39" t="s">
        <v>18</v>
      </c>
      <c r="I19" s="39" t="s">
        <v>19</v>
      </c>
      <c r="J19" s="39" t="s">
        <v>23</v>
      </c>
      <c r="L19" s="14">
        <v>12</v>
      </c>
      <c r="M19" s="6" t="s">
        <v>87</v>
      </c>
      <c r="N19" s="11"/>
      <c r="O19" s="11" t="s">
        <v>100</v>
      </c>
      <c r="P19" s="1" t="s">
        <v>203</v>
      </c>
    </row>
    <row r="20" spans="4:16" ht="15.75" x14ac:dyDescent="0.25">
      <c r="D20" s="11" t="s">
        <v>48</v>
      </c>
      <c r="E20" s="35">
        <v>200</v>
      </c>
      <c r="F20" s="35">
        <v>360</v>
      </c>
      <c r="G20" s="35">
        <v>6</v>
      </c>
      <c r="H20" s="35">
        <v>0.6</v>
      </c>
      <c r="I20" s="35">
        <v>79.599999999999994</v>
      </c>
      <c r="J20" s="35">
        <v>0</v>
      </c>
      <c r="L20" s="14">
        <v>13</v>
      </c>
      <c r="M20" s="6" t="s">
        <v>95</v>
      </c>
      <c r="N20" s="11">
        <v>30</v>
      </c>
      <c r="O20" s="11" t="s">
        <v>100</v>
      </c>
      <c r="P20" s="1"/>
    </row>
    <row r="21" spans="4:16" ht="15.75" x14ac:dyDescent="0.25">
      <c r="D21" s="11" t="s">
        <v>147</v>
      </c>
      <c r="E21" s="35">
        <v>60</v>
      </c>
      <c r="F21" s="35">
        <v>57.6</v>
      </c>
      <c r="G21" s="35">
        <v>12.05</v>
      </c>
      <c r="H21" s="35">
        <v>1.02</v>
      </c>
      <c r="I21" s="35">
        <v>0</v>
      </c>
      <c r="J21" s="35">
        <v>0</v>
      </c>
      <c r="L21" s="14"/>
      <c r="M21" s="23" t="s">
        <v>226</v>
      </c>
      <c r="N21" s="11"/>
      <c r="O21" s="11"/>
    </row>
    <row r="22" spans="4:16" ht="15.75" x14ac:dyDescent="0.25">
      <c r="D22" s="11" t="s">
        <v>33</v>
      </c>
      <c r="E22" s="35">
        <v>25</v>
      </c>
      <c r="F22" s="35">
        <v>50.25</v>
      </c>
      <c r="G22" s="35">
        <v>5.2</v>
      </c>
      <c r="H22" s="35">
        <v>2.2000000000000002</v>
      </c>
      <c r="I22" s="35">
        <v>3.38</v>
      </c>
      <c r="J22" s="35">
        <v>0.35</v>
      </c>
      <c r="L22" s="14">
        <v>14</v>
      </c>
      <c r="M22" s="12" t="s">
        <v>89</v>
      </c>
      <c r="N22" s="20">
        <v>217</v>
      </c>
      <c r="O22" s="20" t="s">
        <v>185</v>
      </c>
    </row>
    <row r="23" spans="4:16" ht="15" customHeight="1" x14ac:dyDescent="0.25">
      <c r="D23" s="11" t="s">
        <v>148</v>
      </c>
      <c r="E23" s="35">
        <v>50</v>
      </c>
      <c r="F23" s="35">
        <v>4.5</v>
      </c>
      <c r="G23" s="35">
        <v>0.5</v>
      </c>
      <c r="H23" s="35">
        <v>0.05</v>
      </c>
      <c r="I23" s="35">
        <v>0.85</v>
      </c>
      <c r="J23" s="35">
        <v>0.4</v>
      </c>
      <c r="L23" s="14">
        <v>15</v>
      </c>
      <c r="M23" s="12" t="s">
        <v>191</v>
      </c>
      <c r="N23" s="11">
        <v>3</v>
      </c>
      <c r="O23" s="11" t="s">
        <v>100</v>
      </c>
    </row>
    <row r="24" spans="4:16" ht="15.75" x14ac:dyDescent="0.25">
      <c r="D24" s="11" t="s">
        <v>149</v>
      </c>
      <c r="E24" s="35">
        <v>60</v>
      </c>
      <c r="F24" s="35">
        <v>37.799999999999997</v>
      </c>
      <c r="G24" s="35">
        <v>0.6</v>
      </c>
      <c r="H24" s="35">
        <v>0.12</v>
      </c>
      <c r="I24" s="35">
        <v>9.66</v>
      </c>
      <c r="J24" s="35">
        <v>2.58</v>
      </c>
      <c r="L24" s="14">
        <v>16</v>
      </c>
      <c r="M24" s="12" t="s">
        <v>90</v>
      </c>
      <c r="N24" s="11"/>
      <c r="O24" s="11" t="s">
        <v>189</v>
      </c>
      <c r="P24" s="2" t="s">
        <v>236</v>
      </c>
    </row>
    <row r="25" spans="4:16" ht="15.75" x14ac:dyDescent="0.25">
      <c r="D25" s="11" t="s">
        <v>20</v>
      </c>
      <c r="E25" s="35">
        <v>7.5</v>
      </c>
      <c r="F25" s="35">
        <v>66.3</v>
      </c>
      <c r="G25" s="35">
        <v>0</v>
      </c>
      <c r="H25" s="35">
        <v>7.5</v>
      </c>
      <c r="I25" s="35">
        <v>0</v>
      </c>
      <c r="J25" s="35">
        <v>0</v>
      </c>
      <c r="L25" s="14">
        <v>17</v>
      </c>
      <c r="M25" s="12" t="s">
        <v>91</v>
      </c>
      <c r="N25" s="11"/>
      <c r="O25" s="11" t="s">
        <v>189</v>
      </c>
      <c r="P25" s="1" t="s">
        <v>188</v>
      </c>
    </row>
    <row r="26" spans="4:16" ht="15.75" x14ac:dyDescent="0.25">
      <c r="D26" s="40" t="s">
        <v>21</v>
      </c>
      <c r="E26" s="40"/>
      <c r="F26" s="47">
        <v>576.45000000000005</v>
      </c>
      <c r="G26" s="47">
        <v>24.35</v>
      </c>
      <c r="H26" s="47">
        <v>11.49</v>
      </c>
      <c r="I26" s="47">
        <v>93.49</v>
      </c>
      <c r="J26" s="47">
        <v>3.33</v>
      </c>
      <c r="L26" s="15">
        <v>18</v>
      </c>
      <c r="M26" s="12" t="s">
        <v>20</v>
      </c>
      <c r="N26" s="11">
        <v>10</v>
      </c>
      <c r="O26" s="11" t="s">
        <v>100</v>
      </c>
    </row>
    <row r="27" spans="4:16" ht="15.75" x14ac:dyDescent="0.25">
      <c r="D27" s="16"/>
      <c r="E27" s="43"/>
      <c r="F27" s="43"/>
      <c r="G27" s="43"/>
      <c r="H27" s="43"/>
      <c r="I27" s="43"/>
      <c r="J27" s="43"/>
      <c r="L27" s="11"/>
      <c r="M27" s="23" t="s">
        <v>208</v>
      </c>
      <c r="N27" s="11"/>
      <c r="O27" s="11"/>
    </row>
    <row r="28" spans="4:16" ht="15.75" x14ac:dyDescent="0.25">
      <c r="D28" s="19"/>
      <c r="E28" s="19"/>
      <c r="F28" s="43"/>
      <c r="G28" s="43"/>
      <c r="H28" s="43"/>
      <c r="I28" s="43"/>
      <c r="J28" s="43"/>
      <c r="L28" s="11">
        <v>19</v>
      </c>
      <c r="M28" s="6" t="s">
        <v>145</v>
      </c>
      <c r="N28" s="11">
        <v>110</v>
      </c>
      <c r="O28" s="11" t="s">
        <v>100</v>
      </c>
    </row>
    <row r="29" spans="4:16" ht="15.75" x14ac:dyDescent="0.25">
      <c r="D29" s="10"/>
      <c r="E29" s="10"/>
      <c r="F29" s="34"/>
      <c r="G29" s="34"/>
      <c r="H29" s="34"/>
      <c r="I29" s="34"/>
      <c r="J29" s="34"/>
      <c r="L29" s="11">
        <v>20</v>
      </c>
      <c r="M29" s="6" t="s">
        <v>117</v>
      </c>
      <c r="N29" s="11">
        <v>0.5</v>
      </c>
      <c r="O29" s="11" t="s">
        <v>100</v>
      </c>
    </row>
    <row r="30" spans="4:16" x14ac:dyDescent="0.25">
      <c r="L30" s="11">
        <v>21</v>
      </c>
      <c r="M30" s="6" t="s">
        <v>82</v>
      </c>
      <c r="N30" s="11">
        <v>1</v>
      </c>
      <c r="O30" s="11" t="s">
        <v>100</v>
      </c>
    </row>
    <row r="31" spans="4:16" x14ac:dyDescent="0.25">
      <c r="D31" s="10"/>
      <c r="E31" s="10"/>
      <c r="F31" s="10"/>
      <c r="G31" s="10"/>
      <c r="H31" s="10"/>
      <c r="I31" s="10"/>
      <c r="J31" s="10"/>
      <c r="L31" s="11">
        <v>22</v>
      </c>
      <c r="M31" s="6" t="s">
        <v>119</v>
      </c>
      <c r="N31" s="11">
        <v>1</v>
      </c>
      <c r="O31" s="11" t="s">
        <v>100</v>
      </c>
    </row>
    <row r="32" spans="4:16" x14ac:dyDescent="0.25">
      <c r="L32" s="11">
        <v>23</v>
      </c>
      <c r="M32" s="6" t="s">
        <v>120</v>
      </c>
      <c r="N32" s="11">
        <v>2</v>
      </c>
      <c r="O32" s="11" t="s">
        <v>182</v>
      </c>
    </row>
    <row r="33" spans="12:16" x14ac:dyDescent="0.25">
      <c r="L33" s="11">
        <v>24</v>
      </c>
      <c r="M33" s="6" t="s">
        <v>97</v>
      </c>
      <c r="N33" s="11">
        <v>2</v>
      </c>
      <c r="O33" s="11" t="s">
        <v>187</v>
      </c>
    </row>
    <row r="34" spans="12:16" x14ac:dyDescent="0.25">
      <c r="L34" s="11">
        <v>25</v>
      </c>
      <c r="M34" s="6" t="s">
        <v>115</v>
      </c>
      <c r="N34" s="11"/>
      <c r="O34" s="11" t="s">
        <v>189</v>
      </c>
      <c r="P34" s="1" t="s">
        <v>188</v>
      </c>
    </row>
    <row r="35" spans="12:16" x14ac:dyDescent="0.25">
      <c r="L35" s="11">
        <v>26</v>
      </c>
      <c r="M35" s="6" t="s">
        <v>95</v>
      </c>
      <c r="N35" s="11">
        <v>5</v>
      </c>
      <c r="O35" s="11" t="s">
        <v>100</v>
      </c>
    </row>
    <row r="36" spans="12:16" x14ac:dyDescent="0.25">
      <c r="L36" s="11"/>
      <c r="M36" s="23" t="s">
        <v>213</v>
      </c>
      <c r="N36" s="11"/>
      <c r="O36" s="11"/>
    </row>
    <row r="37" spans="12:16" x14ac:dyDescent="0.25">
      <c r="L37" s="25">
        <v>27</v>
      </c>
      <c r="M37" s="26" t="s">
        <v>146</v>
      </c>
      <c r="N37" s="25">
        <v>90</v>
      </c>
      <c r="O37" s="25" t="s">
        <v>100</v>
      </c>
    </row>
    <row r="38" spans="12:16" x14ac:dyDescent="0.25">
      <c r="L38" s="16"/>
      <c r="N38" s="16"/>
      <c r="O38" s="16"/>
    </row>
    <row r="39" spans="12:16" x14ac:dyDescent="0.25">
      <c r="L39" s="16"/>
    </row>
    <row r="40" spans="12:16" x14ac:dyDescent="0.25">
      <c r="L40" s="16"/>
    </row>
    <row r="41" spans="12:16" x14ac:dyDescent="0.25">
      <c r="L41" s="16"/>
    </row>
    <row r="42" spans="12:16" x14ac:dyDescent="0.25">
      <c r="L42" s="16"/>
    </row>
    <row r="43" spans="12:16" x14ac:dyDescent="0.25">
      <c r="L43" s="16"/>
    </row>
    <row r="44" spans="12:16" x14ac:dyDescent="0.25">
      <c r="L44" s="16"/>
    </row>
    <row r="45" spans="12:16" x14ac:dyDescent="0.25">
      <c r="L45" s="16"/>
    </row>
    <row r="46" spans="12:16" x14ac:dyDescent="0.25">
      <c r="L46" s="16"/>
    </row>
    <row r="47" spans="12:16" x14ac:dyDescent="0.25">
      <c r="L47" s="16"/>
    </row>
    <row r="48" spans="12:16" x14ac:dyDescent="0.25">
      <c r="L48" s="16"/>
    </row>
    <row r="49" spans="12:12" x14ac:dyDescent="0.25">
      <c r="L49" s="16"/>
    </row>
    <row r="50" spans="12:12" x14ac:dyDescent="0.25">
      <c r="L50" s="16"/>
    </row>
    <row r="51" spans="12:12" x14ac:dyDescent="0.25">
      <c r="L51" s="16"/>
    </row>
    <row r="52" spans="12:12" x14ac:dyDescent="0.25">
      <c r="L52" s="16"/>
    </row>
    <row r="53" spans="12:12" x14ac:dyDescent="0.25">
      <c r="L53" s="16"/>
    </row>
    <row r="54" spans="12:12" x14ac:dyDescent="0.25">
      <c r="L54" s="16"/>
    </row>
  </sheetData>
  <mergeCells count="2">
    <mergeCell ref="B3:H3"/>
    <mergeCell ref="B4:H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AFC5-A33E-4FE1-8AEA-E4B5C10E3F01}">
  <dimension ref="B3:O27"/>
  <sheetViews>
    <sheetView tabSelected="1" topLeftCell="A2" zoomScale="87" zoomScaleNormal="87" workbookViewId="0">
      <selection activeCell="M20" sqref="M20"/>
    </sheetView>
  </sheetViews>
  <sheetFormatPr defaultRowHeight="15" x14ac:dyDescent="0.25"/>
  <cols>
    <col min="2" max="2" width="24.7109375" customWidth="1"/>
    <col min="4" max="4" width="23.28515625" customWidth="1"/>
    <col min="12" max="12" width="7" customWidth="1"/>
    <col min="13" max="13" width="21.5703125" customWidth="1"/>
  </cols>
  <sheetData>
    <row r="3" spans="2:15" x14ac:dyDescent="0.25">
      <c r="B3" s="59" t="s">
        <v>0</v>
      </c>
      <c r="C3" s="59"/>
      <c r="D3" s="59"/>
      <c r="E3" s="59"/>
      <c r="F3" s="59"/>
      <c r="G3" s="59"/>
      <c r="H3" s="59"/>
    </row>
    <row r="4" spans="2:15" x14ac:dyDescent="0.25">
      <c r="B4" s="60" t="s">
        <v>1</v>
      </c>
      <c r="C4" s="59"/>
      <c r="D4" s="59"/>
      <c r="E4" s="59"/>
      <c r="F4" s="59"/>
      <c r="G4" s="59"/>
      <c r="H4" s="59"/>
    </row>
    <row r="5" spans="2:15" x14ac:dyDescent="0.25">
      <c r="B5" s="3" t="s">
        <v>56</v>
      </c>
      <c r="D5" s="5" t="s">
        <v>13</v>
      </c>
      <c r="L5" s="5" t="s">
        <v>26</v>
      </c>
    </row>
    <row r="6" spans="2:15" ht="15.75" thickBot="1" x14ac:dyDescent="0.3">
      <c r="B6" t="s">
        <v>57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5" ht="28.5" x14ac:dyDescent="0.25">
      <c r="B7" t="s">
        <v>58</v>
      </c>
      <c r="D7" s="36" t="s">
        <v>14</v>
      </c>
      <c r="E7" s="37" t="s">
        <v>15</v>
      </c>
      <c r="F7" s="37" t="s">
        <v>16</v>
      </c>
      <c r="G7" s="37" t="s">
        <v>17</v>
      </c>
      <c r="H7" s="37" t="s">
        <v>18</v>
      </c>
      <c r="I7" s="38" t="s">
        <v>19</v>
      </c>
      <c r="J7" s="46" t="s">
        <v>23</v>
      </c>
      <c r="L7" s="13">
        <v>1</v>
      </c>
      <c r="M7" s="6" t="s">
        <v>57</v>
      </c>
      <c r="N7" s="11">
        <v>29</v>
      </c>
      <c r="O7" s="11" t="s">
        <v>204</v>
      </c>
    </row>
    <row r="8" spans="2:15" ht="15.75" x14ac:dyDescent="0.25">
      <c r="B8" t="s">
        <v>60</v>
      </c>
      <c r="D8" s="11" t="s">
        <v>57</v>
      </c>
      <c r="E8" s="35">
        <v>45</v>
      </c>
      <c r="F8" s="35">
        <v>111.6</v>
      </c>
      <c r="G8" s="35">
        <v>3.6</v>
      </c>
      <c r="H8" s="35">
        <v>0.54</v>
      </c>
      <c r="I8" s="35">
        <v>22.5</v>
      </c>
      <c r="J8" s="35">
        <v>4.09</v>
      </c>
      <c r="L8" s="13">
        <v>2</v>
      </c>
      <c r="M8" s="6" t="s">
        <v>110</v>
      </c>
      <c r="N8" s="11">
        <v>58</v>
      </c>
      <c r="O8" s="11" t="s">
        <v>185</v>
      </c>
    </row>
    <row r="9" spans="2:15" ht="15.75" x14ac:dyDescent="0.25">
      <c r="B9" t="s">
        <v>59</v>
      </c>
      <c r="D9" s="11" t="s">
        <v>3</v>
      </c>
      <c r="E9" s="35">
        <v>55</v>
      </c>
      <c r="F9" s="35">
        <v>84.7</v>
      </c>
      <c r="G9" s="35">
        <v>6.82</v>
      </c>
      <c r="H9" s="35">
        <v>5.94</v>
      </c>
      <c r="I9" s="35">
        <v>0.39</v>
      </c>
      <c r="J9" s="35">
        <v>0</v>
      </c>
      <c r="L9" s="13">
        <v>3</v>
      </c>
      <c r="M9" s="6" t="s">
        <v>150</v>
      </c>
      <c r="N9" s="11">
        <v>495</v>
      </c>
      <c r="O9" s="11" t="s">
        <v>194</v>
      </c>
    </row>
    <row r="10" spans="2:15" ht="15.75" x14ac:dyDescent="0.25">
      <c r="D10" s="11" t="s">
        <v>179</v>
      </c>
      <c r="E10" s="35">
        <v>115</v>
      </c>
      <c r="F10" s="35">
        <v>60</v>
      </c>
      <c r="G10" s="35">
        <v>3</v>
      </c>
      <c r="H10" s="35">
        <v>2.5</v>
      </c>
      <c r="I10" s="35">
        <v>6</v>
      </c>
      <c r="J10" s="35">
        <v>0</v>
      </c>
      <c r="L10" s="13">
        <v>4</v>
      </c>
      <c r="M10" s="6" t="s">
        <v>152</v>
      </c>
      <c r="N10" s="21">
        <v>1220</v>
      </c>
      <c r="O10" s="11" t="s">
        <v>194</v>
      </c>
    </row>
    <row r="11" spans="2:15" ht="15.75" x14ac:dyDescent="0.25">
      <c r="D11" s="11" t="s">
        <v>59</v>
      </c>
      <c r="E11" s="35">
        <v>50</v>
      </c>
      <c r="F11" s="35">
        <v>54</v>
      </c>
      <c r="G11" s="35">
        <v>0.5</v>
      </c>
      <c r="H11" s="35">
        <v>0.4</v>
      </c>
      <c r="I11" s="35">
        <v>12.15</v>
      </c>
      <c r="J11" s="35">
        <v>0.95</v>
      </c>
      <c r="L11" s="13">
        <v>5</v>
      </c>
      <c r="M11" s="6" t="s">
        <v>59</v>
      </c>
      <c r="N11" s="11">
        <v>108</v>
      </c>
      <c r="O11" s="11" t="s">
        <v>100</v>
      </c>
    </row>
    <row r="12" spans="2:15" ht="15.75" x14ac:dyDescent="0.25">
      <c r="D12" s="40" t="s">
        <v>21</v>
      </c>
      <c r="E12" s="40"/>
      <c r="F12" s="41">
        <v>310.3</v>
      </c>
      <c r="G12" s="41">
        <v>13.92</v>
      </c>
      <c r="H12" s="41">
        <v>9.3800000000000008</v>
      </c>
      <c r="I12" s="41">
        <v>41.04</v>
      </c>
      <c r="J12" s="41">
        <v>5.04</v>
      </c>
    </row>
    <row r="13" spans="2:15" ht="15.75" x14ac:dyDescent="0.25">
      <c r="F13" s="34"/>
      <c r="G13" s="34"/>
      <c r="H13" s="34"/>
      <c r="I13" s="34"/>
      <c r="J13" s="34"/>
      <c r="M13" s="18"/>
    </row>
    <row r="14" spans="2:15" x14ac:dyDescent="0.25">
      <c r="D14" s="10"/>
      <c r="E14" s="10"/>
      <c r="F14" s="10"/>
      <c r="G14" s="10"/>
      <c r="H14" s="10"/>
      <c r="I14" s="10"/>
      <c r="J14" s="10"/>
    </row>
    <row r="16" spans="2:15" ht="15.75" x14ac:dyDescent="0.25">
      <c r="D16" s="8" t="s">
        <v>24</v>
      </c>
    </row>
    <row r="17" spans="4:10" ht="28.5" x14ac:dyDescent="0.25">
      <c r="D17" s="39" t="s">
        <v>14</v>
      </c>
      <c r="E17" s="39" t="s">
        <v>15</v>
      </c>
      <c r="F17" s="39" t="s">
        <v>16</v>
      </c>
      <c r="G17" s="39" t="s">
        <v>17</v>
      </c>
      <c r="H17" s="39" t="s">
        <v>18</v>
      </c>
      <c r="I17" s="39" t="s">
        <v>19</v>
      </c>
      <c r="J17" s="39" t="s">
        <v>23</v>
      </c>
    </row>
    <row r="18" spans="4:10" ht="15.75" x14ac:dyDescent="0.25">
      <c r="D18" s="11" t="s">
        <v>57</v>
      </c>
      <c r="E18" s="43">
        <v>45</v>
      </c>
      <c r="F18" s="43">
        <v>111.6</v>
      </c>
      <c r="G18" s="43">
        <v>3.6</v>
      </c>
      <c r="H18" s="43">
        <v>0.54</v>
      </c>
      <c r="I18" s="43">
        <v>22.5</v>
      </c>
      <c r="J18" s="43">
        <v>4.09</v>
      </c>
    </row>
    <row r="19" spans="4:10" ht="15.75" x14ac:dyDescent="0.25">
      <c r="D19" s="11" t="s">
        <v>3</v>
      </c>
      <c r="E19" s="43">
        <v>55</v>
      </c>
      <c r="F19" s="43">
        <v>84.7</v>
      </c>
      <c r="G19" s="43">
        <v>6.82</v>
      </c>
      <c r="H19" s="43">
        <v>5.94</v>
      </c>
      <c r="I19" s="43">
        <v>0.39</v>
      </c>
      <c r="J19" s="43">
        <v>0</v>
      </c>
    </row>
    <row r="20" spans="4:10" ht="15.75" x14ac:dyDescent="0.25">
      <c r="D20" s="11" t="s">
        <v>181</v>
      </c>
      <c r="E20" s="43">
        <v>125</v>
      </c>
      <c r="F20" s="43">
        <v>68.180000000000007</v>
      </c>
      <c r="G20" s="43">
        <v>3.41</v>
      </c>
      <c r="H20" s="43">
        <v>2.84</v>
      </c>
      <c r="I20" s="43">
        <v>6.82</v>
      </c>
      <c r="J20" s="43">
        <v>0</v>
      </c>
    </row>
    <row r="21" spans="4:10" ht="15.75" x14ac:dyDescent="0.25">
      <c r="D21" s="11" t="s">
        <v>59</v>
      </c>
      <c r="E21" s="43">
        <v>50</v>
      </c>
      <c r="F21" s="43">
        <v>54</v>
      </c>
      <c r="G21" s="43">
        <v>0.5</v>
      </c>
      <c r="H21" s="43">
        <v>0.4</v>
      </c>
      <c r="I21" s="43">
        <v>12.15</v>
      </c>
      <c r="J21" s="43">
        <v>0.95</v>
      </c>
    </row>
    <row r="22" spans="4:10" ht="15.75" x14ac:dyDescent="0.25">
      <c r="D22" s="49" t="s">
        <v>21</v>
      </c>
      <c r="E22" s="49"/>
      <c r="F22" s="48">
        <v>318.48</v>
      </c>
      <c r="G22" s="48">
        <v>14.33</v>
      </c>
      <c r="H22" s="48">
        <v>9.7200000000000006</v>
      </c>
      <c r="I22" s="48">
        <v>41.86</v>
      </c>
      <c r="J22" s="48">
        <v>5.04</v>
      </c>
    </row>
    <row r="23" spans="4:10" ht="15.75" x14ac:dyDescent="0.25">
      <c r="F23" s="34"/>
      <c r="G23" s="34"/>
      <c r="H23" s="34"/>
      <c r="I23" s="34"/>
      <c r="J23" s="34"/>
    </row>
    <row r="24" spans="4:10" x14ac:dyDescent="0.25">
      <c r="D24" s="10"/>
      <c r="E24" s="10"/>
      <c r="F24" s="10"/>
      <c r="G24" s="10"/>
      <c r="H24" s="10"/>
      <c r="I24" s="10"/>
      <c r="J24" s="10"/>
    </row>
    <row r="25" spans="4:10" x14ac:dyDescent="0.25">
      <c r="D25" s="10"/>
      <c r="E25" s="10"/>
      <c r="F25" s="10"/>
      <c r="G25" s="10"/>
      <c r="H25" s="10"/>
      <c r="I25" s="10"/>
      <c r="J25" s="10"/>
    </row>
    <row r="27" spans="4:10" x14ac:dyDescent="0.25">
      <c r="D27" s="10"/>
      <c r="E27" s="10"/>
      <c r="F27" s="10"/>
      <c r="G27" s="10"/>
      <c r="H27" s="10"/>
      <c r="I27" s="10"/>
      <c r="J27" s="10"/>
    </row>
  </sheetData>
  <mergeCells count="2">
    <mergeCell ref="B3:H3"/>
    <mergeCell ref="B4:H4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6599-1071-4C9B-AB2E-1F5B30B94524}">
  <dimension ref="B3:P36"/>
  <sheetViews>
    <sheetView zoomScale="91" zoomScaleNormal="91" workbookViewId="0">
      <selection activeCell="E26" sqref="E26:J26"/>
    </sheetView>
  </sheetViews>
  <sheetFormatPr defaultRowHeight="15" x14ac:dyDescent="0.25"/>
  <cols>
    <col min="2" max="2" width="22.42578125" customWidth="1"/>
    <col min="4" max="4" width="21.28515625" customWidth="1"/>
    <col min="12" max="12" width="6.5703125" customWidth="1"/>
    <col min="13" max="13" width="25.28515625" customWidth="1"/>
    <col min="16" max="16" width="17.42578125" customWidth="1"/>
  </cols>
  <sheetData>
    <row r="3" spans="2:15" x14ac:dyDescent="0.25">
      <c r="B3" s="59" t="s">
        <v>0</v>
      </c>
      <c r="C3" s="59"/>
      <c r="D3" s="59"/>
      <c r="E3" s="59"/>
      <c r="F3" s="59"/>
      <c r="G3" s="59"/>
      <c r="H3" s="59"/>
    </row>
    <row r="4" spans="2:15" x14ac:dyDescent="0.25">
      <c r="B4" s="60" t="s">
        <v>1</v>
      </c>
      <c r="C4" s="59"/>
      <c r="D4" s="59"/>
      <c r="E4" s="59"/>
      <c r="F4" s="59"/>
      <c r="G4" s="59"/>
      <c r="H4" s="59"/>
    </row>
    <row r="5" spans="2:15" x14ac:dyDescent="0.25">
      <c r="B5" s="3" t="s">
        <v>61</v>
      </c>
      <c r="D5" s="5" t="s">
        <v>13</v>
      </c>
      <c r="L5" s="5" t="s">
        <v>26</v>
      </c>
    </row>
    <row r="6" spans="2:15" x14ac:dyDescent="0.25">
      <c r="B6" t="s">
        <v>63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5" ht="15.75" thickBot="1" x14ac:dyDescent="0.3">
      <c r="D7" s="5"/>
      <c r="M7" s="2" t="s">
        <v>227</v>
      </c>
    </row>
    <row r="8" spans="2:15" ht="28.5" x14ac:dyDescent="0.25">
      <c r="B8" t="s">
        <v>64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46" t="s">
        <v>23</v>
      </c>
      <c r="L8" s="13">
        <v>1</v>
      </c>
      <c r="M8" s="6" t="s">
        <v>137</v>
      </c>
      <c r="N8" s="11">
        <v>174</v>
      </c>
      <c r="O8" s="11" t="s">
        <v>81</v>
      </c>
    </row>
    <row r="9" spans="2:15" ht="15.75" x14ac:dyDescent="0.25">
      <c r="B9" t="s">
        <v>44</v>
      </c>
      <c r="D9" s="11" t="s">
        <v>66</v>
      </c>
      <c r="E9" s="35">
        <v>40</v>
      </c>
      <c r="F9" s="35">
        <v>119.2</v>
      </c>
      <c r="G9" s="35">
        <v>7.28</v>
      </c>
      <c r="H9" s="35">
        <v>10</v>
      </c>
      <c r="I9" s="35">
        <v>0</v>
      </c>
      <c r="J9" s="35">
        <v>0</v>
      </c>
      <c r="L9" s="13">
        <v>2</v>
      </c>
      <c r="M9" s="6" t="s">
        <v>117</v>
      </c>
      <c r="N9" s="22">
        <v>3</v>
      </c>
      <c r="O9" s="11" t="s">
        <v>100</v>
      </c>
    </row>
    <row r="10" spans="2:15" ht="15.75" x14ac:dyDescent="0.25">
      <c r="B10" t="s">
        <v>65</v>
      </c>
      <c r="D10" s="11" t="s">
        <v>62</v>
      </c>
      <c r="E10" s="35">
        <v>105</v>
      </c>
      <c r="F10" s="35">
        <v>65.099999999999994</v>
      </c>
      <c r="G10" s="35">
        <v>2.21</v>
      </c>
      <c r="H10" s="35">
        <v>0.21</v>
      </c>
      <c r="I10" s="35">
        <v>14.18</v>
      </c>
      <c r="J10" s="35">
        <v>0.53</v>
      </c>
      <c r="L10" s="13">
        <v>3</v>
      </c>
      <c r="M10" s="6" t="s">
        <v>154</v>
      </c>
      <c r="N10" s="22">
        <v>3</v>
      </c>
      <c r="O10" s="11" t="s">
        <v>100</v>
      </c>
    </row>
    <row r="11" spans="2:15" ht="15.75" x14ac:dyDescent="0.25">
      <c r="D11" s="11" t="s">
        <v>46</v>
      </c>
      <c r="E11" s="35">
        <v>15</v>
      </c>
      <c r="F11" s="35">
        <v>5.0999999999999996</v>
      </c>
      <c r="G11" s="35">
        <v>0.36</v>
      </c>
      <c r="H11" s="35">
        <v>0.04</v>
      </c>
      <c r="I11" s="35">
        <v>1.08</v>
      </c>
      <c r="J11" s="35">
        <v>0.28000000000000003</v>
      </c>
      <c r="L11" s="13">
        <v>4</v>
      </c>
      <c r="M11" s="6" t="s">
        <v>153</v>
      </c>
      <c r="N11" s="22">
        <v>50</v>
      </c>
      <c r="O11" s="11" t="s">
        <v>100</v>
      </c>
    </row>
    <row r="12" spans="2:15" ht="15.75" x14ac:dyDescent="0.25">
      <c r="D12" s="11" t="s">
        <v>47</v>
      </c>
      <c r="E12" s="35">
        <v>20</v>
      </c>
      <c r="F12" s="35">
        <v>29.4</v>
      </c>
      <c r="G12" s="35">
        <v>1.02</v>
      </c>
      <c r="H12" s="35">
        <v>0.14000000000000001</v>
      </c>
      <c r="I12" s="35">
        <v>6.3</v>
      </c>
      <c r="J12" s="35">
        <v>0.26</v>
      </c>
      <c r="L12" s="13">
        <v>5</v>
      </c>
      <c r="M12" s="6" t="s">
        <v>155</v>
      </c>
      <c r="N12" s="22">
        <v>2</v>
      </c>
      <c r="O12" s="11" t="s">
        <v>182</v>
      </c>
    </row>
    <row r="13" spans="2:15" ht="15.75" x14ac:dyDescent="0.25">
      <c r="D13" s="11" t="s">
        <v>45</v>
      </c>
      <c r="E13" s="35">
        <v>15</v>
      </c>
      <c r="F13" s="35">
        <v>5.4</v>
      </c>
      <c r="G13" s="35">
        <v>0.15</v>
      </c>
      <c r="H13" s="35">
        <v>0.09</v>
      </c>
      <c r="I13" s="35">
        <v>1.19</v>
      </c>
      <c r="J13" s="35">
        <v>0.15</v>
      </c>
      <c r="L13" s="13">
        <v>6</v>
      </c>
      <c r="M13" s="6" t="s">
        <v>83</v>
      </c>
      <c r="N13" s="22">
        <v>1</v>
      </c>
      <c r="O13" s="11" t="s">
        <v>184</v>
      </c>
    </row>
    <row r="14" spans="2:15" ht="15.75" x14ac:dyDescent="0.25">
      <c r="D14" s="11" t="s">
        <v>65</v>
      </c>
      <c r="E14" s="35">
        <v>60</v>
      </c>
      <c r="F14" s="35">
        <v>37.799999999999997</v>
      </c>
      <c r="G14" s="35">
        <v>0.6</v>
      </c>
      <c r="H14" s="35">
        <v>0.12</v>
      </c>
      <c r="I14" s="35">
        <v>9.66</v>
      </c>
      <c r="J14" s="35">
        <v>2.58</v>
      </c>
      <c r="L14" s="11">
        <v>7</v>
      </c>
      <c r="M14" s="6" t="s">
        <v>143</v>
      </c>
      <c r="N14" s="22">
        <v>10</v>
      </c>
      <c r="O14" s="11" t="s">
        <v>100</v>
      </c>
    </row>
    <row r="15" spans="2:15" ht="15.75" x14ac:dyDescent="0.25">
      <c r="D15" s="11" t="s">
        <v>20</v>
      </c>
      <c r="E15" s="35">
        <v>5</v>
      </c>
      <c r="F15" s="35">
        <v>44.2</v>
      </c>
      <c r="G15" s="35">
        <v>0</v>
      </c>
      <c r="H15" s="35">
        <v>5</v>
      </c>
      <c r="I15" s="35">
        <v>0</v>
      </c>
      <c r="J15" s="35">
        <v>0</v>
      </c>
      <c r="L15" s="11">
        <v>8</v>
      </c>
      <c r="M15" s="6" t="s">
        <v>156</v>
      </c>
      <c r="N15" s="22">
        <v>8</v>
      </c>
      <c r="O15" s="11" t="s">
        <v>100</v>
      </c>
    </row>
    <row r="16" spans="2:15" ht="15.75" x14ac:dyDescent="0.25">
      <c r="D16" s="40" t="s">
        <v>21</v>
      </c>
      <c r="E16" s="40"/>
      <c r="F16" s="47">
        <v>306.2</v>
      </c>
      <c r="G16" s="47">
        <v>11.62</v>
      </c>
      <c r="H16" s="47">
        <v>15.6</v>
      </c>
      <c r="I16" s="47">
        <v>32.409999999999997</v>
      </c>
      <c r="J16" s="47">
        <v>3.8</v>
      </c>
      <c r="L16" s="11">
        <v>9</v>
      </c>
      <c r="M16" s="6" t="s">
        <v>85</v>
      </c>
      <c r="N16" s="22">
        <v>5</v>
      </c>
      <c r="O16" s="11" t="s">
        <v>200</v>
      </c>
    </row>
    <row r="17" spans="4:16" ht="15.75" x14ac:dyDescent="0.25">
      <c r="D17" s="16"/>
      <c r="F17" s="34"/>
      <c r="G17" s="34"/>
      <c r="H17" s="34"/>
      <c r="I17" s="34"/>
      <c r="J17" s="34"/>
      <c r="L17" s="14">
        <v>10</v>
      </c>
      <c r="M17" s="6" t="s">
        <v>114</v>
      </c>
      <c r="N17" s="11">
        <v>10</v>
      </c>
      <c r="O17" s="11" t="s">
        <v>194</v>
      </c>
      <c r="P17" s="1" t="s">
        <v>195</v>
      </c>
    </row>
    <row r="18" spans="4:16" ht="15.75" x14ac:dyDescent="0.25">
      <c r="D18" s="8" t="s">
        <v>24</v>
      </c>
      <c r="L18" s="14">
        <v>11</v>
      </c>
      <c r="M18" s="6" t="s">
        <v>157</v>
      </c>
      <c r="N18" s="22">
        <v>6</v>
      </c>
      <c r="O18" s="11" t="s">
        <v>100</v>
      </c>
    </row>
    <row r="19" spans="4:16" ht="28.5" x14ac:dyDescent="0.25">
      <c r="D19" s="39" t="s">
        <v>14</v>
      </c>
      <c r="E19" s="39" t="s">
        <v>15</v>
      </c>
      <c r="F19" s="39" t="s">
        <v>16</v>
      </c>
      <c r="G19" s="39" t="s">
        <v>17</v>
      </c>
      <c r="H19" s="39" t="s">
        <v>18</v>
      </c>
      <c r="I19" s="39" t="s">
        <v>19</v>
      </c>
      <c r="J19" s="39" t="s">
        <v>23</v>
      </c>
      <c r="L19" s="14">
        <v>12</v>
      </c>
      <c r="M19" s="6" t="s">
        <v>87</v>
      </c>
      <c r="N19" s="22">
        <v>0.5</v>
      </c>
      <c r="O19" s="11" t="s">
        <v>100</v>
      </c>
    </row>
    <row r="20" spans="4:16" ht="15.75" x14ac:dyDescent="0.25">
      <c r="D20" s="11" t="s">
        <v>66</v>
      </c>
      <c r="E20" s="35">
        <v>60</v>
      </c>
      <c r="F20" s="35">
        <v>178.8</v>
      </c>
      <c r="G20" s="35">
        <v>10.92</v>
      </c>
      <c r="H20" s="35">
        <v>15</v>
      </c>
      <c r="I20" s="35">
        <v>0</v>
      </c>
      <c r="J20" s="35">
        <v>0</v>
      </c>
      <c r="L20" s="14">
        <v>13</v>
      </c>
      <c r="M20" s="6" t="s">
        <v>158</v>
      </c>
      <c r="N20" s="11">
        <v>1</v>
      </c>
      <c r="O20" s="11" t="s">
        <v>189</v>
      </c>
      <c r="P20" s="2" t="s">
        <v>190</v>
      </c>
    </row>
    <row r="21" spans="4:16" ht="15.75" x14ac:dyDescent="0.25">
      <c r="D21" s="11" t="s">
        <v>62</v>
      </c>
      <c r="E21" s="35">
        <v>210</v>
      </c>
      <c r="F21" s="35">
        <v>130.19999999999999</v>
      </c>
      <c r="G21" s="35">
        <v>4.41</v>
      </c>
      <c r="H21" s="35">
        <v>0.42</v>
      </c>
      <c r="I21" s="35">
        <v>28.35</v>
      </c>
      <c r="J21" s="35">
        <v>1.05</v>
      </c>
      <c r="L21" s="14">
        <v>14</v>
      </c>
      <c r="M21" s="6" t="s">
        <v>115</v>
      </c>
      <c r="N21" s="11">
        <v>1</v>
      </c>
      <c r="O21" s="11" t="s">
        <v>189</v>
      </c>
      <c r="P21" s="2" t="s">
        <v>190</v>
      </c>
    </row>
    <row r="22" spans="4:16" ht="15.75" x14ac:dyDescent="0.25">
      <c r="D22" s="11" t="s">
        <v>46</v>
      </c>
      <c r="E22" s="35">
        <v>15</v>
      </c>
      <c r="F22" s="35">
        <v>5.0999999999999996</v>
      </c>
      <c r="G22" s="35">
        <v>0.36</v>
      </c>
      <c r="H22" s="35">
        <v>0.04</v>
      </c>
      <c r="I22" s="35">
        <v>1.08</v>
      </c>
      <c r="J22" s="35">
        <v>0.28000000000000003</v>
      </c>
      <c r="L22" s="14">
        <v>15</v>
      </c>
      <c r="M22" s="6" t="s">
        <v>95</v>
      </c>
      <c r="N22" s="22">
        <v>40</v>
      </c>
      <c r="O22" s="11" t="s">
        <v>100</v>
      </c>
    </row>
    <row r="23" spans="4:16" ht="15.75" x14ac:dyDescent="0.25">
      <c r="D23" s="11" t="s">
        <v>47</v>
      </c>
      <c r="E23" s="35">
        <v>20</v>
      </c>
      <c r="F23" s="35">
        <v>29.4</v>
      </c>
      <c r="G23" s="35">
        <v>1.02</v>
      </c>
      <c r="H23" s="35">
        <v>0.14000000000000001</v>
      </c>
      <c r="I23" s="35">
        <v>6.3</v>
      </c>
      <c r="J23" s="35">
        <v>0.26</v>
      </c>
      <c r="L23" s="14">
        <v>16</v>
      </c>
      <c r="M23" s="6" t="s">
        <v>159</v>
      </c>
      <c r="N23" s="22">
        <v>108</v>
      </c>
      <c r="O23" s="11" t="s">
        <v>100</v>
      </c>
    </row>
    <row r="24" spans="4:16" ht="15.75" x14ac:dyDescent="0.25">
      <c r="D24" s="11" t="s">
        <v>45</v>
      </c>
      <c r="E24" s="35">
        <v>15</v>
      </c>
      <c r="F24" s="35">
        <v>5.4</v>
      </c>
      <c r="G24" s="35">
        <v>0.15</v>
      </c>
      <c r="H24" s="35">
        <v>0.09</v>
      </c>
      <c r="I24" s="35">
        <v>1.19</v>
      </c>
      <c r="J24" s="35">
        <v>0.15</v>
      </c>
      <c r="L24" s="15"/>
      <c r="M24" s="2" t="s">
        <v>224</v>
      </c>
      <c r="N24" s="22"/>
      <c r="O24" s="11"/>
    </row>
    <row r="25" spans="4:16" ht="15.75" x14ac:dyDescent="0.25">
      <c r="D25" s="11" t="s">
        <v>65</v>
      </c>
      <c r="E25" s="35">
        <v>60</v>
      </c>
      <c r="F25" s="35">
        <v>37.799999999999997</v>
      </c>
      <c r="G25" s="35">
        <v>0.6</v>
      </c>
      <c r="H25" s="35">
        <v>0.12</v>
      </c>
      <c r="I25" s="35">
        <v>9.66</v>
      </c>
      <c r="J25" s="35">
        <v>2.58</v>
      </c>
      <c r="L25" s="11">
        <v>17</v>
      </c>
      <c r="M25" s="6" t="s">
        <v>133</v>
      </c>
      <c r="N25" s="11">
        <v>25</v>
      </c>
      <c r="O25" s="11" t="s">
        <v>100</v>
      </c>
    </row>
    <row r="26" spans="4:16" ht="15.75" x14ac:dyDescent="0.25">
      <c r="D26" s="11" t="s">
        <v>20</v>
      </c>
      <c r="E26" s="35">
        <v>7.5</v>
      </c>
      <c r="F26" s="35">
        <v>66.3</v>
      </c>
      <c r="G26" s="35">
        <v>0</v>
      </c>
      <c r="H26" s="35">
        <v>7.5</v>
      </c>
      <c r="I26" s="35">
        <v>0</v>
      </c>
      <c r="J26" s="35">
        <v>0</v>
      </c>
      <c r="L26" s="11">
        <v>18</v>
      </c>
      <c r="M26" s="6" t="s">
        <v>134</v>
      </c>
      <c r="N26" s="11">
        <v>30</v>
      </c>
      <c r="O26" s="11" t="s">
        <v>100</v>
      </c>
    </row>
    <row r="27" spans="4:16" ht="15.75" x14ac:dyDescent="0.25">
      <c r="D27" s="40" t="s">
        <v>21</v>
      </c>
      <c r="E27" s="40"/>
      <c r="F27" s="47">
        <v>453</v>
      </c>
      <c r="G27" s="47">
        <v>17.46</v>
      </c>
      <c r="H27" s="47">
        <v>23.31</v>
      </c>
      <c r="I27" s="47">
        <v>46.58</v>
      </c>
      <c r="J27" s="47">
        <v>4.32</v>
      </c>
      <c r="L27" s="11">
        <v>19</v>
      </c>
      <c r="M27" s="6" t="s">
        <v>135</v>
      </c>
      <c r="N27" s="11">
        <v>30</v>
      </c>
      <c r="O27" s="11" t="s">
        <v>100</v>
      </c>
    </row>
    <row r="28" spans="4:16" ht="15.75" x14ac:dyDescent="0.25">
      <c r="F28" s="34"/>
      <c r="G28" s="34"/>
      <c r="H28" s="34"/>
      <c r="I28" s="34"/>
      <c r="J28" s="34"/>
      <c r="L28" s="11">
        <v>20</v>
      </c>
      <c r="M28" s="7" t="s">
        <v>82</v>
      </c>
      <c r="N28" s="11">
        <v>0.5</v>
      </c>
      <c r="O28" s="11" t="s">
        <v>100</v>
      </c>
    </row>
    <row r="29" spans="4:16" x14ac:dyDescent="0.25">
      <c r="L29" s="11">
        <v>21</v>
      </c>
      <c r="M29" s="7" t="s">
        <v>117</v>
      </c>
      <c r="N29" s="11">
        <v>0.5</v>
      </c>
      <c r="O29" s="11" t="s">
        <v>100</v>
      </c>
    </row>
    <row r="30" spans="4:16" x14ac:dyDescent="0.25">
      <c r="L30" s="11">
        <v>22</v>
      </c>
      <c r="M30" s="7" t="s">
        <v>86</v>
      </c>
      <c r="N30" s="11">
        <v>0.5</v>
      </c>
      <c r="O30" s="11" t="s">
        <v>100</v>
      </c>
    </row>
    <row r="31" spans="4:16" x14ac:dyDescent="0.25">
      <c r="L31" s="11">
        <v>23</v>
      </c>
      <c r="M31" s="7" t="s">
        <v>85</v>
      </c>
      <c r="N31" s="11"/>
      <c r="O31" s="11" t="s">
        <v>182</v>
      </c>
      <c r="P31" s="1" t="s">
        <v>196</v>
      </c>
    </row>
    <row r="32" spans="4:16" x14ac:dyDescent="0.25">
      <c r="L32" s="11">
        <v>24</v>
      </c>
      <c r="M32" s="7" t="s">
        <v>97</v>
      </c>
      <c r="N32" s="11">
        <v>2</v>
      </c>
      <c r="O32" s="11" t="s">
        <v>187</v>
      </c>
    </row>
    <row r="33" spans="12:16" x14ac:dyDescent="0.25">
      <c r="L33" s="11">
        <v>25</v>
      </c>
      <c r="M33" s="7" t="s">
        <v>84</v>
      </c>
      <c r="N33" s="11"/>
      <c r="O33" s="11" t="s">
        <v>189</v>
      </c>
      <c r="P33" s="1" t="s">
        <v>196</v>
      </c>
    </row>
    <row r="34" spans="12:16" x14ac:dyDescent="0.25">
      <c r="L34" s="11">
        <v>26</v>
      </c>
      <c r="M34" s="7" t="s">
        <v>95</v>
      </c>
      <c r="N34" s="11">
        <v>5</v>
      </c>
      <c r="O34" s="11" t="s">
        <v>100</v>
      </c>
    </row>
    <row r="35" spans="12:16" x14ac:dyDescent="0.25">
      <c r="L35" s="11"/>
      <c r="M35" s="23" t="s">
        <v>213</v>
      </c>
      <c r="N35" s="11"/>
      <c r="O35" s="11"/>
    </row>
    <row r="36" spans="12:16" x14ac:dyDescent="0.25">
      <c r="L36" s="11">
        <v>27</v>
      </c>
      <c r="M36" s="6" t="s">
        <v>160</v>
      </c>
      <c r="N36" s="11">
        <v>90</v>
      </c>
      <c r="O36" s="11" t="s">
        <v>100</v>
      </c>
    </row>
  </sheetData>
  <mergeCells count="2">
    <mergeCell ref="B3:H3"/>
    <mergeCell ref="B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E794-5F81-4674-950E-D2B936882391}">
  <dimension ref="B3:P38"/>
  <sheetViews>
    <sheetView topLeftCell="A6" zoomScale="82" zoomScaleNormal="82" workbookViewId="0">
      <selection activeCell="N14" sqref="N14"/>
    </sheetView>
  </sheetViews>
  <sheetFormatPr defaultRowHeight="15" x14ac:dyDescent="0.25"/>
  <cols>
    <col min="2" max="2" width="23.42578125" customWidth="1"/>
    <col min="4" max="4" width="22.5703125" customWidth="1"/>
    <col min="12" max="12" width="6.85546875" customWidth="1"/>
    <col min="13" max="13" width="34" customWidth="1"/>
    <col min="15" max="15" width="11.5703125" customWidth="1"/>
    <col min="16" max="16" width="32.140625" customWidth="1"/>
  </cols>
  <sheetData>
    <row r="3" spans="2:16" x14ac:dyDescent="0.25">
      <c r="B3" s="59" t="s">
        <v>0</v>
      </c>
      <c r="C3" s="59"/>
      <c r="D3" s="59"/>
      <c r="E3" s="59"/>
      <c r="F3" s="59"/>
      <c r="G3" s="59"/>
      <c r="H3" s="59"/>
    </row>
    <row r="4" spans="2:16" x14ac:dyDescent="0.25">
      <c r="B4" s="60" t="s">
        <v>1</v>
      </c>
      <c r="C4" s="59"/>
      <c r="D4" s="59"/>
      <c r="E4" s="59"/>
      <c r="F4" s="59"/>
      <c r="G4" s="59"/>
      <c r="H4" s="59"/>
    </row>
    <row r="5" spans="2:16" x14ac:dyDescent="0.25">
      <c r="B5" s="3" t="s">
        <v>67</v>
      </c>
      <c r="D5" s="5" t="s">
        <v>13</v>
      </c>
      <c r="L5" s="5" t="s">
        <v>26</v>
      </c>
    </row>
    <row r="6" spans="2:16" x14ac:dyDescent="0.25">
      <c r="B6" t="s">
        <v>4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6" ht="15.75" thickBot="1" x14ac:dyDescent="0.3">
      <c r="D7" s="5"/>
      <c r="L7" s="13">
        <v>1</v>
      </c>
      <c r="M7" s="6" t="s">
        <v>121</v>
      </c>
      <c r="N7" s="11">
        <v>95</v>
      </c>
      <c r="O7" s="11" t="s">
        <v>100</v>
      </c>
    </row>
    <row r="8" spans="2:16" ht="28.5" x14ac:dyDescent="0.25">
      <c r="B8" t="s">
        <v>68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39" t="s">
        <v>23</v>
      </c>
      <c r="L8" s="13"/>
      <c r="M8" s="23" t="s">
        <v>228</v>
      </c>
      <c r="N8" s="11"/>
      <c r="O8" s="11"/>
    </row>
    <row r="9" spans="2:16" ht="15.75" x14ac:dyDescent="0.25">
      <c r="B9" t="s">
        <v>55</v>
      </c>
      <c r="D9" s="11" t="s">
        <v>48</v>
      </c>
      <c r="E9" s="11">
        <v>100</v>
      </c>
      <c r="F9" s="35">
        <v>180</v>
      </c>
      <c r="G9" s="35">
        <v>3</v>
      </c>
      <c r="H9" s="35">
        <v>0.3</v>
      </c>
      <c r="I9" s="35">
        <v>39.799999999999997</v>
      </c>
      <c r="J9" s="35">
        <v>0</v>
      </c>
      <c r="L9" s="13">
        <v>2</v>
      </c>
      <c r="M9" s="6" t="s">
        <v>142</v>
      </c>
      <c r="N9" s="20">
        <v>150</v>
      </c>
      <c r="O9" s="20" t="s">
        <v>100</v>
      </c>
      <c r="P9" s="1" t="s">
        <v>202</v>
      </c>
    </row>
    <row r="10" spans="2:16" ht="15.75" x14ac:dyDescent="0.25">
      <c r="B10" t="s">
        <v>52</v>
      </c>
      <c r="D10" s="11" t="s">
        <v>162</v>
      </c>
      <c r="E10" s="11">
        <v>40</v>
      </c>
      <c r="F10" s="35">
        <v>38.4</v>
      </c>
      <c r="G10" s="35">
        <v>8.0299999999999994</v>
      </c>
      <c r="H10" s="35">
        <v>0.68</v>
      </c>
      <c r="I10" s="35">
        <v>0</v>
      </c>
      <c r="J10" s="35">
        <v>0</v>
      </c>
      <c r="L10" s="13">
        <v>3</v>
      </c>
      <c r="M10" s="6" t="s">
        <v>82</v>
      </c>
      <c r="N10" s="11">
        <v>4</v>
      </c>
      <c r="O10" s="11" t="s">
        <v>100</v>
      </c>
    </row>
    <row r="11" spans="2:16" ht="15.75" x14ac:dyDescent="0.25">
      <c r="B11" t="s">
        <v>31</v>
      </c>
      <c r="D11" s="11" t="s">
        <v>139</v>
      </c>
      <c r="E11" s="43">
        <v>27.5</v>
      </c>
      <c r="F11" s="43">
        <v>22</v>
      </c>
      <c r="G11" s="43">
        <v>3</v>
      </c>
      <c r="H11" s="43">
        <v>1.29</v>
      </c>
      <c r="I11" s="43">
        <v>0.22</v>
      </c>
      <c r="J11" s="43">
        <v>0.03</v>
      </c>
      <c r="L11" s="13">
        <v>4</v>
      </c>
      <c r="M11" s="6" t="s">
        <v>117</v>
      </c>
      <c r="N11" s="11">
        <v>2</v>
      </c>
      <c r="O11" s="11" t="s">
        <v>100</v>
      </c>
    </row>
    <row r="12" spans="2:16" ht="15.75" x14ac:dyDescent="0.25">
      <c r="D12" s="11" t="s">
        <v>148</v>
      </c>
      <c r="E12" s="35">
        <v>50</v>
      </c>
      <c r="F12" s="35">
        <v>4.5</v>
      </c>
      <c r="G12" s="35">
        <v>0.5</v>
      </c>
      <c r="H12" s="35">
        <v>0.05</v>
      </c>
      <c r="I12" s="35">
        <v>0.85</v>
      </c>
      <c r="J12" s="35">
        <v>0.4</v>
      </c>
      <c r="L12" s="13"/>
      <c r="M12" s="6" t="s">
        <v>86</v>
      </c>
      <c r="N12" s="11">
        <v>1</v>
      </c>
      <c r="O12" s="11" t="s">
        <v>100</v>
      </c>
    </row>
    <row r="13" spans="2:16" ht="15.75" x14ac:dyDescent="0.25">
      <c r="D13" s="11" t="s">
        <v>163</v>
      </c>
      <c r="E13" s="35">
        <v>110</v>
      </c>
      <c r="F13" s="35">
        <v>49.5</v>
      </c>
      <c r="G13" s="35">
        <v>0.99</v>
      </c>
      <c r="H13" s="35">
        <v>0.22</v>
      </c>
      <c r="I13" s="35">
        <v>12.32</v>
      </c>
      <c r="J13" s="35">
        <v>1.54</v>
      </c>
      <c r="L13" s="13">
        <v>5</v>
      </c>
      <c r="M13" s="6" t="s">
        <v>161</v>
      </c>
      <c r="N13" s="11">
        <v>6</v>
      </c>
      <c r="O13" s="11" t="s">
        <v>100</v>
      </c>
    </row>
    <row r="14" spans="2:16" ht="15.75" x14ac:dyDescent="0.25">
      <c r="D14" s="11" t="s">
        <v>20</v>
      </c>
      <c r="E14" s="35">
        <v>5</v>
      </c>
      <c r="F14" s="35">
        <v>44.2</v>
      </c>
      <c r="G14" s="35">
        <v>0</v>
      </c>
      <c r="H14" s="35">
        <v>5</v>
      </c>
      <c r="I14" s="35">
        <v>0</v>
      </c>
      <c r="J14" s="35">
        <v>0</v>
      </c>
      <c r="L14" s="13">
        <v>6</v>
      </c>
      <c r="M14" s="6" t="s">
        <v>42</v>
      </c>
      <c r="N14" s="11">
        <v>20</v>
      </c>
      <c r="O14" s="11" t="s">
        <v>100</v>
      </c>
    </row>
    <row r="15" spans="2:16" x14ac:dyDescent="0.25">
      <c r="D15" s="40" t="s">
        <v>21</v>
      </c>
      <c r="E15" s="49"/>
      <c r="F15" s="49">
        <f>F9+F10+F11+F12+F13+F14</f>
        <v>338.59999999999997</v>
      </c>
      <c r="G15" s="49">
        <f>G9+G10+G11+G12+G13+G14</f>
        <v>15.52</v>
      </c>
      <c r="H15" s="49">
        <f>H9+H10+H11+H12+H13+H14</f>
        <v>7.54</v>
      </c>
      <c r="I15" s="49">
        <f>I9+I10+I11+I12+I13+I14</f>
        <v>53.19</v>
      </c>
      <c r="J15" s="49">
        <f>J9+J10+J11+J12+J13+J14</f>
        <v>1.9700000000000002</v>
      </c>
      <c r="L15" s="13">
        <v>6</v>
      </c>
      <c r="M15" s="6" t="s">
        <v>87</v>
      </c>
      <c r="N15" s="11"/>
      <c r="O15" s="11" t="s">
        <v>100</v>
      </c>
      <c r="P15" s="2" t="s">
        <v>196</v>
      </c>
    </row>
    <row r="16" spans="2:16" x14ac:dyDescent="0.25">
      <c r="D16" s="19"/>
      <c r="L16" s="11">
        <v>7</v>
      </c>
      <c r="M16" s="6" t="s">
        <v>205</v>
      </c>
      <c r="N16" s="11">
        <v>1</v>
      </c>
      <c r="O16" s="11" t="s">
        <v>184</v>
      </c>
      <c r="P16" s="2"/>
    </row>
    <row r="17" spans="4:16" ht="15.75" x14ac:dyDescent="0.25">
      <c r="D17" s="8" t="s">
        <v>24</v>
      </c>
      <c r="L17" s="11">
        <v>8</v>
      </c>
      <c r="M17" s="6" t="s">
        <v>84</v>
      </c>
      <c r="N17" s="11"/>
      <c r="O17" s="11"/>
      <c r="P17" s="2" t="s">
        <v>196</v>
      </c>
    </row>
    <row r="18" spans="4:16" ht="28.5" x14ac:dyDescent="0.25">
      <c r="D18" s="39" t="s">
        <v>14</v>
      </c>
      <c r="E18" s="39" t="s">
        <v>15</v>
      </c>
      <c r="F18" s="39" t="s">
        <v>16</v>
      </c>
      <c r="G18" s="39" t="s">
        <v>17</v>
      </c>
      <c r="H18" s="39" t="s">
        <v>18</v>
      </c>
      <c r="I18" s="39" t="s">
        <v>19</v>
      </c>
      <c r="J18" s="39" t="s">
        <v>23</v>
      </c>
      <c r="L18" s="11">
        <v>9</v>
      </c>
      <c r="M18" s="6" t="s">
        <v>108</v>
      </c>
      <c r="N18" s="11">
        <v>0.5</v>
      </c>
      <c r="O18" s="11" t="s">
        <v>100</v>
      </c>
    </row>
    <row r="19" spans="4:16" ht="15.75" x14ac:dyDescent="0.25">
      <c r="D19" s="11" t="s">
        <v>48</v>
      </c>
      <c r="E19" s="53">
        <v>200</v>
      </c>
      <c r="F19" s="35">
        <v>360</v>
      </c>
      <c r="G19" s="35">
        <v>6</v>
      </c>
      <c r="H19" s="35">
        <v>0.6</v>
      </c>
      <c r="I19" s="35">
        <v>79.599999999999994</v>
      </c>
      <c r="J19" s="35">
        <v>0</v>
      </c>
      <c r="L19" s="14">
        <v>10</v>
      </c>
      <c r="M19" s="6" t="s">
        <v>88</v>
      </c>
      <c r="N19" s="11">
        <v>0.5</v>
      </c>
      <c r="O19" s="11" t="s">
        <v>100</v>
      </c>
    </row>
    <row r="20" spans="4:16" ht="15.75" x14ac:dyDescent="0.25">
      <c r="D20" s="11" t="s">
        <v>162</v>
      </c>
      <c r="E20" s="53">
        <v>60</v>
      </c>
      <c r="F20" s="35">
        <v>57.6</v>
      </c>
      <c r="G20" s="35">
        <v>12.05</v>
      </c>
      <c r="H20" s="35">
        <v>1.02</v>
      </c>
      <c r="I20" s="35">
        <v>0</v>
      </c>
      <c r="J20" s="35">
        <v>0</v>
      </c>
      <c r="L20" s="14">
        <v>11</v>
      </c>
      <c r="M20" s="6" t="s">
        <v>125</v>
      </c>
      <c r="N20" s="11">
        <v>0.5</v>
      </c>
      <c r="O20" s="11" t="s">
        <v>100</v>
      </c>
    </row>
    <row r="21" spans="4:16" ht="15.75" x14ac:dyDescent="0.25">
      <c r="D21" s="11" t="s">
        <v>170</v>
      </c>
      <c r="E21" s="35">
        <v>55</v>
      </c>
      <c r="F21" s="35">
        <v>44</v>
      </c>
      <c r="G21" s="35">
        <v>6</v>
      </c>
      <c r="H21" s="35">
        <v>2.58</v>
      </c>
      <c r="I21" s="35">
        <v>0.44</v>
      </c>
      <c r="J21" s="35">
        <v>0.06</v>
      </c>
      <c r="L21" s="14">
        <v>12</v>
      </c>
      <c r="M21" s="6" t="s">
        <v>95</v>
      </c>
      <c r="N21" s="11">
        <v>30</v>
      </c>
      <c r="O21" s="11" t="s">
        <v>100</v>
      </c>
    </row>
    <row r="22" spans="4:16" ht="15.75" x14ac:dyDescent="0.25">
      <c r="D22" s="11" t="s">
        <v>148</v>
      </c>
      <c r="E22" s="35">
        <v>50</v>
      </c>
      <c r="F22" s="35">
        <v>4.5</v>
      </c>
      <c r="G22" s="35">
        <v>0.5</v>
      </c>
      <c r="H22" s="35">
        <v>0.05</v>
      </c>
      <c r="I22" s="35">
        <v>0.85</v>
      </c>
      <c r="J22" s="35">
        <v>0.4</v>
      </c>
      <c r="L22" s="14"/>
      <c r="M22" s="23" t="s">
        <v>207</v>
      </c>
      <c r="N22" s="11"/>
      <c r="O22" s="11"/>
    </row>
    <row r="23" spans="4:16" ht="15.75" x14ac:dyDescent="0.25">
      <c r="D23" s="11" t="s">
        <v>163</v>
      </c>
      <c r="E23" s="35">
        <v>110</v>
      </c>
      <c r="F23" s="35">
        <v>49.5</v>
      </c>
      <c r="G23" s="35">
        <v>0.99</v>
      </c>
      <c r="H23" s="35">
        <v>0.22</v>
      </c>
      <c r="I23" s="35">
        <v>12.32</v>
      </c>
      <c r="J23" s="35">
        <v>1.54</v>
      </c>
      <c r="L23" s="14">
        <v>13</v>
      </c>
      <c r="M23" s="12" t="s">
        <v>139</v>
      </c>
      <c r="N23" s="20">
        <v>12</v>
      </c>
      <c r="O23" s="20" t="s">
        <v>185</v>
      </c>
      <c r="P23" s="1" t="s">
        <v>201</v>
      </c>
    </row>
    <row r="24" spans="4:16" ht="15.75" x14ac:dyDescent="0.25">
      <c r="D24" s="11" t="s">
        <v>20</v>
      </c>
      <c r="E24" s="35">
        <v>7.5</v>
      </c>
      <c r="F24" s="35">
        <v>66.3</v>
      </c>
      <c r="G24" s="35">
        <v>0</v>
      </c>
      <c r="H24" s="35">
        <v>7.5</v>
      </c>
      <c r="I24" s="35">
        <v>0</v>
      </c>
      <c r="J24" s="35">
        <v>0</v>
      </c>
      <c r="L24" s="14">
        <v>14</v>
      </c>
      <c r="M24" s="12" t="s">
        <v>191</v>
      </c>
      <c r="N24" s="11">
        <v>3</v>
      </c>
      <c r="O24" s="11" t="s">
        <v>100</v>
      </c>
    </row>
    <row r="25" spans="4:16" x14ac:dyDescent="0.25">
      <c r="D25" s="40" t="s">
        <v>21</v>
      </c>
      <c r="E25" s="40"/>
      <c r="F25" s="40">
        <f>F19+F20+F21+F22+F23+F24</f>
        <v>581.9</v>
      </c>
      <c r="G25" s="40">
        <f>G19+G20+G21+G22+G23+G24</f>
        <v>25.54</v>
      </c>
      <c r="H25" s="40">
        <f>H19+H20+H21+H22+H23+H24</f>
        <v>11.969999999999999</v>
      </c>
      <c r="I25" s="40">
        <f>I19+I20+I21+I22+I23+I24</f>
        <v>93.20999999999998</v>
      </c>
      <c r="J25" s="40">
        <f>J19+J20+J21+J23+J24</f>
        <v>1.6</v>
      </c>
      <c r="L25" s="14">
        <v>15</v>
      </c>
      <c r="M25" s="12" t="s">
        <v>90</v>
      </c>
      <c r="N25" s="11">
        <v>1</v>
      </c>
      <c r="O25" s="11" t="s">
        <v>189</v>
      </c>
      <c r="P25" s="2" t="s">
        <v>190</v>
      </c>
    </row>
    <row r="26" spans="4:16" x14ac:dyDescent="0.25">
      <c r="D26" s="16"/>
      <c r="L26" s="15">
        <v>16</v>
      </c>
      <c r="M26" s="12" t="s">
        <v>91</v>
      </c>
      <c r="N26" s="11"/>
      <c r="O26" s="11" t="s">
        <v>189</v>
      </c>
      <c r="P26" s="1" t="s">
        <v>188</v>
      </c>
    </row>
    <row r="27" spans="4:16" x14ac:dyDescent="0.25">
      <c r="D27" s="19"/>
      <c r="E27" s="10"/>
      <c r="F27" s="10"/>
      <c r="G27" s="10"/>
      <c r="H27" s="10"/>
      <c r="I27" s="10"/>
      <c r="J27" s="10"/>
      <c r="L27" s="11">
        <v>17</v>
      </c>
      <c r="M27" s="12" t="s">
        <v>20</v>
      </c>
      <c r="N27" s="11">
        <v>10</v>
      </c>
      <c r="O27" s="11" t="s">
        <v>100</v>
      </c>
    </row>
    <row r="28" spans="4:16" x14ac:dyDescent="0.25">
      <c r="D28" s="10"/>
      <c r="E28" s="10"/>
      <c r="F28" s="10"/>
      <c r="G28" s="10"/>
      <c r="H28" s="10"/>
      <c r="I28" s="10"/>
      <c r="J28" s="10"/>
      <c r="L28" s="11"/>
      <c r="M28" s="23" t="s">
        <v>208</v>
      </c>
      <c r="N28" s="11"/>
      <c r="O28" s="11"/>
    </row>
    <row r="29" spans="4:16" x14ac:dyDescent="0.25">
      <c r="L29" s="11">
        <v>18</v>
      </c>
      <c r="M29" s="6" t="s">
        <v>145</v>
      </c>
      <c r="N29" s="11">
        <v>110</v>
      </c>
      <c r="O29" s="11" t="s">
        <v>100</v>
      </c>
    </row>
    <row r="30" spans="4:16" x14ac:dyDescent="0.25">
      <c r="D30" s="10"/>
      <c r="E30" s="10"/>
      <c r="F30" s="10"/>
      <c r="G30" s="10"/>
      <c r="H30" s="10"/>
      <c r="I30" s="10"/>
      <c r="J30" s="10"/>
      <c r="L30" s="11">
        <v>19</v>
      </c>
      <c r="M30" s="6" t="s">
        <v>117</v>
      </c>
      <c r="N30" s="11">
        <v>0.5</v>
      </c>
      <c r="O30" s="11" t="s">
        <v>100</v>
      </c>
    </row>
    <row r="31" spans="4:16" x14ac:dyDescent="0.25">
      <c r="L31" s="11">
        <v>20</v>
      </c>
      <c r="M31" s="6" t="s">
        <v>82</v>
      </c>
      <c r="N31" s="11">
        <v>1</v>
      </c>
      <c r="O31" s="11" t="s">
        <v>100</v>
      </c>
    </row>
    <row r="32" spans="4:16" x14ac:dyDescent="0.25">
      <c r="L32" s="11">
        <v>21</v>
      </c>
      <c r="M32" s="6" t="s">
        <v>119</v>
      </c>
      <c r="N32" s="11">
        <v>1</v>
      </c>
      <c r="O32" s="11" t="s">
        <v>100</v>
      </c>
    </row>
    <row r="33" spans="12:16" x14ac:dyDescent="0.25">
      <c r="L33" s="11">
        <v>22</v>
      </c>
      <c r="M33" s="6" t="s">
        <v>120</v>
      </c>
      <c r="N33" s="11">
        <v>2</v>
      </c>
      <c r="O33" s="11" t="s">
        <v>182</v>
      </c>
    </row>
    <row r="34" spans="12:16" x14ac:dyDescent="0.25">
      <c r="L34" s="11">
        <v>23</v>
      </c>
      <c r="M34" s="6" t="s">
        <v>83</v>
      </c>
      <c r="N34" s="11">
        <v>2</v>
      </c>
      <c r="O34" s="11" t="s">
        <v>187</v>
      </c>
    </row>
    <row r="35" spans="12:16" x14ac:dyDescent="0.25">
      <c r="L35" s="11">
        <v>24</v>
      </c>
      <c r="M35" s="6" t="s">
        <v>115</v>
      </c>
      <c r="N35" s="11"/>
      <c r="O35" s="11" t="s">
        <v>189</v>
      </c>
      <c r="P35" s="1" t="s">
        <v>188</v>
      </c>
    </row>
    <row r="36" spans="12:16" x14ac:dyDescent="0.25">
      <c r="L36" s="11">
        <v>25</v>
      </c>
      <c r="M36" s="6" t="s">
        <v>95</v>
      </c>
      <c r="N36" s="11">
        <v>5</v>
      </c>
      <c r="O36" s="11" t="s">
        <v>100</v>
      </c>
    </row>
    <row r="37" spans="12:16" x14ac:dyDescent="0.25">
      <c r="L37" s="11"/>
      <c r="M37" s="23" t="s">
        <v>213</v>
      </c>
      <c r="N37" s="11"/>
      <c r="O37" s="11"/>
    </row>
    <row r="38" spans="12:16" x14ac:dyDescent="0.25">
      <c r="L38" s="11">
        <v>26</v>
      </c>
      <c r="M38" s="6" t="s">
        <v>79</v>
      </c>
      <c r="N38" s="11">
        <v>120</v>
      </c>
      <c r="O38" s="11" t="s">
        <v>100</v>
      </c>
    </row>
  </sheetData>
  <mergeCells count="2">
    <mergeCell ref="B3:H3"/>
    <mergeCell ref="B4:H4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E631-F6F1-4B68-9751-6CE8F6F085A8}">
  <dimension ref="C3:Q50"/>
  <sheetViews>
    <sheetView topLeftCell="A3" zoomScale="78" zoomScaleNormal="78" workbookViewId="0">
      <selection activeCell="P24" sqref="P24"/>
    </sheetView>
  </sheetViews>
  <sheetFormatPr defaultRowHeight="15" x14ac:dyDescent="0.25"/>
  <cols>
    <col min="3" max="3" width="27.140625" customWidth="1"/>
    <col min="5" max="5" width="20.7109375" customWidth="1"/>
    <col min="13" max="13" width="5" customWidth="1"/>
    <col min="14" max="14" width="27.5703125" customWidth="1"/>
    <col min="17" max="17" width="17.7109375" customWidth="1"/>
  </cols>
  <sheetData>
    <row r="3" spans="3:17" x14ac:dyDescent="0.25">
      <c r="C3" s="59" t="s">
        <v>0</v>
      </c>
      <c r="D3" s="59"/>
      <c r="E3" s="59"/>
      <c r="F3" s="59"/>
      <c r="G3" s="59"/>
      <c r="H3" s="59"/>
      <c r="I3" s="59"/>
    </row>
    <row r="4" spans="3:17" x14ac:dyDescent="0.25">
      <c r="C4" s="60" t="s">
        <v>1</v>
      </c>
      <c r="D4" s="59"/>
      <c r="E4" s="59"/>
      <c r="F4" s="59"/>
      <c r="G4" s="59"/>
      <c r="H4" s="59"/>
      <c r="I4" s="59"/>
    </row>
    <row r="5" spans="3:17" x14ac:dyDescent="0.25">
      <c r="C5" s="3" t="s">
        <v>69</v>
      </c>
      <c r="E5" s="5" t="s">
        <v>13</v>
      </c>
      <c r="M5" s="5" t="s">
        <v>26</v>
      </c>
    </row>
    <row r="6" spans="3:17" x14ac:dyDescent="0.25">
      <c r="C6" t="s">
        <v>4</v>
      </c>
      <c r="E6" s="5" t="s">
        <v>12</v>
      </c>
      <c r="M6" s="4" t="s">
        <v>8</v>
      </c>
      <c r="N6" s="4" t="s">
        <v>9</v>
      </c>
      <c r="O6" s="4" t="s">
        <v>10</v>
      </c>
      <c r="P6" s="4" t="s">
        <v>11</v>
      </c>
    </row>
    <row r="7" spans="3:17" ht="15.75" thickBot="1" x14ac:dyDescent="0.3">
      <c r="E7" s="5"/>
      <c r="M7" s="13">
        <v>1</v>
      </c>
      <c r="N7" s="6" t="s">
        <v>121</v>
      </c>
      <c r="O7" s="11">
        <v>95</v>
      </c>
      <c r="P7" s="11" t="s">
        <v>100</v>
      </c>
    </row>
    <row r="8" spans="3:17" ht="28.5" x14ac:dyDescent="0.25">
      <c r="C8" t="s">
        <v>70</v>
      </c>
      <c r="E8" s="36" t="s">
        <v>14</v>
      </c>
      <c r="F8" s="37" t="s">
        <v>15</v>
      </c>
      <c r="G8" s="37" t="s">
        <v>16</v>
      </c>
      <c r="H8" s="37" t="s">
        <v>17</v>
      </c>
      <c r="I8" s="37" t="s">
        <v>18</v>
      </c>
      <c r="J8" s="38" t="s">
        <v>19</v>
      </c>
      <c r="K8" s="46" t="s">
        <v>23</v>
      </c>
      <c r="M8" s="13"/>
      <c r="N8" s="23" t="s">
        <v>229</v>
      </c>
      <c r="O8" s="11"/>
      <c r="P8" s="11"/>
    </row>
    <row r="9" spans="3:17" ht="15.75" x14ac:dyDescent="0.25">
      <c r="C9" t="s">
        <v>38</v>
      </c>
      <c r="E9" s="11" t="s">
        <v>48</v>
      </c>
      <c r="F9" s="35">
        <v>100</v>
      </c>
      <c r="G9" s="35">
        <v>180</v>
      </c>
      <c r="H9" s="35">
        <v>3</v>
      </c>
      <c r="I9" s="35">
        <v>0.3</v>
      </c>
      <c r="J9" s="35">
        <v>39.799999999999997</v>
      </c>
      <c r="K9" s="35">
        <v>0</v>
      </c>
      <c r="M9" s="13">
        <v>2</v>
      </c>
      <c r="N9" s="6" t="s">
        <v>137</v>
      </c>
      <c r="O9" s="11">
        <v>174</v>
      </c>
      <c r="P9" s="11" t="s">
        <v>81</v>
      </c>
    </row>
    <row r="10" spans="3:17" ht="15.75" x14ac:dyDescent="0.25">
      <c r="C10" t="s">
        <v>71</v>
      </c>
      <c r="E10" s="11" t="s">
        <v>32</v>
      </c>
      <c r="F10" s="35">
        <v>40</v>
      </c>
      <c r="G10" s="35">
        <v>119.2</v>
      </c>
      <c r="H10" s="35">
        <v>7.28</v>
      </c>
      <c r="I10" s="35">
        <v>10</v>
      </c>
      <c r="J10" s="35">
        <v>0</v>
      </c>
      <c r="K10" s="35">
        <v>0</v>
      </c>
      <c r="M10" s="13">
        <v>3</v>
      </c>
      <c r="N10" s="6" t="s">
        <v>108</v>
      </c>
      <c r="O10" s="11">
        <v>0.5</v>
      </c>
      <c r="P10" s="11" t="s">
        <v>100</v>
      </c>
    </row>
    <row r="11" spans="3:17" ht="15.75" x14ac:dyDescent="0.25">
      <c r="C11" t="s">
        <v>39</v>
      </c>
      <c r="E11" s="11" t="s">
        <v>33</v>
      </c>
      <c r="F11" s="56">
        <v>12.5</v>
      </c>
      <c r="G11" s="56">
        <v>25.13</v>
      </c>
      <c r="H11" s="56">
        <v>2.6</v>
      </c>
      <c r="I11" s="56">
        <v>1.1000000000000001</v>
      </c>
      <c r="J11" s="56">
        <v>1.69</v>
      </c>
      <c r="K11" s="56">
        <v>0.17</v>
      </c>
      <c r="M11" s="13">
        <v>4</v>
      </c>
      <c r="N11" s="6" t="s">
        <v>125</v>
      </c>
      <c r="O11" s="11">
        <v>0.5</v>
      </c>
      <c r="P11" s="11" t="s">
        <v>100</v>
      </c>
    </row>
    <row r="12" spans="3:17" x14ac:dyDescent="0.25">
      <c r="E12" s="22" t="s">
        <v>169</v>
      </c>
      <c r="F12" s="58">
        <v>50</v>
      </c>
      <c r="G12" s="58">
        <v>15</v>
      </c>
      <c r="H12" s="58">
        <v>0.3</v>
      </c>
      <c r="I12" s="58">
        <v>0.05</v>
      </c>
      <c r="J12" s="58">
        <v>3.3</v>
      </c>
      <c r="K12" s="58">
        <v>3.1</v>
      </c>
      <c r="M12" s="13">
        <v>5</v>
      </c>
      <c r="N12" s="6" t="s">
        <v>164</v>
      </c>
      <c r="O12" s="11">
        <v>25</v>
      </c>
      <c r="P12" s="11" t="s">
        <v>194</v>
      </c>
    </row>
    <row r="13" spans="3:17" ht="15.75" x14ac:dyDescent="0.25">
      <c r="E13" s="11" t="s">
        <v>39</v>
      </c>
      <c r="F13" s="57">
        <v>180</v>
      </c>
      <c r="G13" s="57">
        <v>50.4</v>
      </c>
      <c r="H13" s="57">
        <v>0.9</v>
      </c>
      <c r="I13" s="57">
        <v>0.36</v>
      </c>
      <c r="J13" s="57">
        <v>12.42</v>
      </c>
      <c r="K13" s="57">
        <v>0.72</v>
      </c>
      <c r="M13" s="13">
        <v>6</v>
      </c>
      <c r="N13" s="6" t="s">
        <v>165</v>
      </c>
      <c r="O13" s="11">
        <v>0.5</v>
      </c>
      <c r="P13" s="11" t="s">
        <v>100</v>
      </c>
    </row>
    <row r="14" spans="3:17" ht="15.75" x14ac:dyDescent="0.25">
      <c r="E14" s="11" t="s">
        <v>20</v>
      </c>
      <c r="F14" s="35">
        <v>5</v>
      </c>
      <c r="G14" s="35">
        <v>44.2</v>
      </c>
      <c r="H14" s="35">
        <v>0</v>
      </c>
      <c r="I14" s="35">
        <v>5</v>
      </c>
      <c r="J14" s="35">
        <v>0</v>
      </c>
      <c r="K14" s="35">
        <v>0</v>
      </c>
      <c r="M14" s="11">
        <v>7</v>
      </c>
      <c r="N14" s="6" t="s">
        <v>166</v>
      </c>
      <c r="O14" s="11" t="s">
        <v>206</v>
      </c>
      <c r="P14" s="11" t="s">
        <v>100</v>
      </c>
    </row>
    <row r="15" spans="3:17" x14ac:dyDescent="0.25">
      <c r="E15" s="40" t="s">
        <v>21</v>
      </c>
      <c r="F15" s="42"/>
      <c r="G15" s="40">
        <f>G9+G10+G11+G12+G13+G14</f>
        <v>433.92999999999995</v>
      </c>
      <c r="H15" s="40">
        <f>H9+H10+H11+H12+H13+H14</f>
        <v>14.080000000000002</v>
      </c>
      <c r="I15" s="40">
        <f>I9+I10+I11+I12+I13+I14</f>
        <v>16.810000000000002</v>
      </c>
      <c r="J15" s="40">
        <f>J9+J10+J11+J12+J13+J14</f>
        <v>57.209999999999994</v>
      </c>
      <c r="K15" s="40">
        <f>K9+K10+K11+K12+K13+K14</f>
        <v>3.99</v>
      </c>
      <c r="M15" s="11">
        <v>8</v>
      </c>
      <c r="N15" s="6" t="s">
        <v>167</v>
      </c>
      <c r="O15" s="11">
        <v>85</v>
      </c>
      <c r="P15" s="11" t="s">
        <v>197</v>
      </c>
      <c r="Q15" s="1" t="s">
        <v>198</v>
      </c>
    </row>
    <row r="16" spans="3:17" x14ac:dyDescent="0.25">
      <c r="M16" s="11">
        <v>9</v>
      </c>
      <c r="N16" s="6" t="s">
        <v>183</v>
      </c>
      <c r="O16" s="11">
        <v>1</v>
      </c>
      <c r="P16" s="11" t="s">
        <v>184</v>
      </c>
    </row>
    <row r="17" spans="5:17" ht="15.75" x14ac:dyDescent="0.25">
      <c r="E17" s="8" t="s">
        <v>24</v>
      </c>
      <c r="M17" s="14">
        <v>10</v>
      </c>
      <c r="N17" s="6" t="s">
        <v>115</v>
      </c>
      <c r="O17" s="11"/>
      <c r="P17" s="11"/>
      <c r="Q17" s="1" t="s">
        <v>203</v>
      </c>
    </row>
    <row r="18" spans="5:17" ht="28.5" x14ac:dyDescent="0.25">
      <c r="E18" s="39" t="s">
        <v>14</v>
      </c>
      <c r="F18" s="39" t="s">
        <v>15</v>
      </c>
      <c r="G18" s="39" t="s">
        <v>16</v>
      </c>
      <c r="H18" s="39" t="s">
        <v>17</v>
      </c>
      <c r="I18" s="39" t="s">
        <v>18</v>
      </c>
      <c r="J18" s="39" t="s">
        <v>19</v>
      </c>
      <c r="K18" s="39" t="s">
        <v>23</v>
      </c>
      <c r="M18" s="14">
        <v>11</v>
      </c>
      <c r="N18" s="6" t="s">
        <v>82</v>
      </c>
      <c r="O18" s="11">
        <v>4</v>
      </c>
      <c r="P18" s="11" t="s">
        <v>100</v>
      </c>
    </row>
    <row r="19" spans="5:17" ht="15.75" x14ac:dyDescent="0.25">
      <c r="E19" s="11" t="s">
        <v>48</v>
      </c>
      <c r="F19" s="35">
        <v>200</v>
      </c>
      <c r="G19" s="35">
        <v>360</v>
      </c>
      <c r="H19" s="35">
        <v>6</v>
      </c>
      <c r="I19" s="35">
        <v>0.6</v>
      </c>
      <c r="J19" s="35">
        <v>79.599999999999994</v>
      </c>
      <c r="K19" s="35">
        <v>0</v>
      </c>
      <c r="M19" s="14">
        <v>12</v>
      </c>
      <c r="N19" s="6" t="s">
        <v>117</v>
      </c>
      <c r="O19" s="11">
        <v>2</v>
      </c>
      <c r="P19" s="11" t="s">
        <v>100</v>
      </c>
    </row>
    <row r="20" spans="5:17" ht="15.75" x14ac:dyDescent="0.25">
      <c r="E20" s="11" t="s">
        <v>32</v>
      </c>
      <c r="F20" s="35">
        <v>60</v>
      </c>
      <c r="G20" s="35">
        <v>178.8</v>
      </c>
      <c r="H20" s="35">
        <v>10.92</v>
      </c>
      <c r="I20" s="35">
        <v>15</v>
      </c>
      <c r="J20" s="35">
        <v>0</v>
      </c>
      <c r="K20" s="35">
        <v>0</v>
      </c>
      <c r="M20" s="14">
        <v>13</v>
      </c>
      <c r="N20" s="6" t="s">
        <v>86</v>
      </c>
      <c r="O20" s="11">
        <v>0.5</v>
      </c>
      <c r="P20" s="11" t="s">
        <v>100</v>
      </c>
    </row>
    <row r="21" spans="5:17" ht="15.75" x14ac:dyDescent="0.25">
      <c r="E21" s="11" t="s">
        <v>33</v>
      </c>
      <c r="F21" s="56">
        <v>25</v>
      </c>
      <c r="G21" s="56">
        <v>50.25</v>
      </c>
      <c r="H21" s="56">
        <v>5.2</v>
      </c>
      <c r="I21" s="56">
        <v>2.2000000000000002</v>
      </c>
      <c r="J21" s="56">
        <v>3.38</v>
      </c>
      <c r="K21" s="56">
        <v>0.35</v>
      </c>
      <c r="M21" s="14">
        <v>14</v>
      </c>
      <c r="N21" s="6" t="s">
        <v>112</v>
      </c>
      <c r="O21" s="11">
        <v>5</v>
      </c>
      <c r="P21" s="11" t="s">
        <v>100</v>
      </c>
    </row>
    <row r="22" spans="5:17" x14ac:dyDescent="0.25">
      <c r="E22" s="22" t="s">
        <v>169</v>
      </c>
      <c r="F22" s="58">
        <v>50</v>
      </c>
      <c r="G22" s="58">
        <v>15</v>
      </c>
      <c r="H22" s="58">
        <v>0.3</v>
      </c>
      <c r="I22" s="58">
        <v>0.05</v>
      </c>
      <c r="J22" s="58">
        <v>3.3</v>
      </c>
      <c r="K22" s="58">
        <v>3.1</v>
      </c>
      <c r="M22" s="14">
        <v>15</v>
      </c>
      <c r="N22" s="6" t="s">
        <v>138</v>
      </c>
      <c r="O22" s="11">
        <v>1</v>
      </c>
      <c r="P22" s="11" t="s">
        <v>100</v>
      </c>
    </row>
    <row r="23" spans="5:17" ht="15.75" x14ac:dyDescent="0.25">
      <c r="E23" s="11" t="s">
        <v>39</v>
      </c>
      <c r="F23" s="57">
        <v>180</v>
      </c>
      <c r="G23" s="57">
        <v>50.4</v>
      </c>
      <c r="H23" s="57">
        <v>0.9</v>
      </c>
      <c r="I23" s="57">
        <v>0.36</v>
      </c>
      <c r="J23" s="57">
        <v>12.42</v>
      </c>
      <c r="K23" s="57">
        <v>0.72</v>
      </c>
      <c r="M23" s="14">
        <v>16</v>
      </c>
      <c r="N23" s="6" t="s">
        <v>123</v>
      </c>
      <c r="O23" s="11">
        <v>0.5</v>
      </c>
      <c r="P23" s="11" t="s">
        <v>100</v>
      </c>
    </row>
    <row r="24" spans="5:17" ht="15.75" x14ac:dyDescent="0.25">
      <c r="E24" s="11" t="s">
        <v>20</v>
      </c>
      <c r="F24" s="35">
        <v>7.5</v>
      </c>
      <c r="G24" s="35">
        <v>66.3</v>
      </c>
      <c r="H24" s="35">
        <v>0</v>
      </c>
      <c r="I24" s="35">
        <v>7.5</v>
      </c>
      <c r="J24" s="35">
        <v>0</v>
      </c>
      <c r="K24" s="35">
        <v>0</v>
      </c>
      <c r="M24" s="15">
        <v>17</v>
      </c>
      <c r="N24" s="6" t="s">
        <v>168</v>
      </c>
      <c r="O24" s="11">
        <v>3</v>
      </c>
      <c r="P24" s="11" t="s">
        <v>100</v>
      </c>
      <c r="Q24" s="1"/>
    </row>
    <row r="25" spans="5:17" x14ac:dyDescent="0.25">
      <c r="E25" s="40" t="s">
        <v>21</v>
      </c>
      <c r="F25" s="55"/>
      <c r="G25" s="55">
        <f>G19+G20+G21+G22+G23+G24</f>
        <v>720.74999999999989</v>
      </c>
      <c r="H25" s="55">
        <f>H19+H20+H21+H22+H23+H24</f>
        <v>23.32</v>
      </c>
      <c r="I25" s="55">
        <f>I19+I20+I21+I22+I23+I24</f>
        <v>25.71</v>
      </c>
      <c r="J25" s="55">
        <f>J19+J20+J21+J22+J23+J24</f>
        <v>98.699999999999989</v>
      </c>
      <c r="K25" s="55">
        <f>K19+K20+K21+K22+K23+K24</f>
        <v>4.17</v>
      </c>
      <c r="M25" s="15">
        <v>18</v>
      </c>
      <c r="N25" s="6" t="s">
        <v>20</v>
      </c>
      <c r="O25" s="11">
        <v>25</v>
      </c>
      <c r="P25" s="11" t="s">
        <v>100</v>
      </c>
      <c r="Q25" s="1"/>
    </row>
    <row r="26" spans="5:17" x14ac:dyDescent="0.25">
      <c r="E26" s="19"/>
      <c r="F26" s="10"/>
      <c r="G26" s="10"/>
      <c r="H26" s="10"/>
      <c r="I26" s="10"/>
      <c r="J26" s="10"/>
      <c r="K26" s="10"/>
      <c r="M26" s="11"/>
      <c r="N26" s="23" t="s">
        <v>220</v>
      </c>
      <c r="O26" s="11"/>
      <c r="P26" s="11"/>
    </row>
    <row r="27" spans="5:17" x14ac:dyDescent="0.25">
      <c r="E27" s="10"/>
      <c r="F27" s="10"/>
      <c r="G27" s="10"/>
      <c r="H27" s="10"/>
      <c r="I27" s="10"/>
      <c r="J27" s="10"/>
      <c r="K27" s="10"/>
      <c r="M27" s="11">
        <v>19</v>
      </c>
      <c r="N27" s="6" t="s">
        <v>89</v>
      </c>
      <c r="O27" s="20">
        <v>217</v>
      </c>
      <c r="P27" s="20" t="s">
        <v>185</v>
      </c>
    </row>
    <row r="28" spans="5:17" x14ac:dyDescent="0.25">
      <c r="M28" s="11">
        <v>20</v>
      </c>
      <c r="N28" s="6" t="s">
        <v>82</v>
      </c>
      <c r="O28" s="11">
        <v>2</v>
      </c>
      <c r="P28" s="11" t="s">
        <v>100</v>
      </c>
    </row>
    <row r="29" spans="5:17" x14ac:dyDescent="0.25">
      <c r="E29" s="10"/>
      <c r="F29" s="10"/>
      <c r="G29" s="10"/>
      <c r="H29" s="10"/>
      <c r="I29" s="10"/>
      <c r="J29" s="10"/>
      <c r="K29" s="10"/>
      <c r="M29" s="11">
        <v>21</v>
      </c>
      <c r="N29" s="6" t="s">
        <v>117</v>
      </c>
      <c r="O29" s="11">
        <v>1</v>
      </c>
      <c r="P29" s="11" t="s">
        <v>100</v>
      </c>
    </row>
    <row r="30" spans="5:17" x14ac:dyDescent="0.25">
      <c r="M30" s="11">
        <v>22</v>
      </c>
      <c r="N30" s="6" t="s">
        <v>112</v>
      </c>
      <c r="O30" s="11">
        <v>3</v>
      </c>
      <c r="P30" s="11" t="s">
        <v>100</v>
      </c>
    </row>
    <row r="31" spans="5:17" x14ac:dyDescent="0.25">
      <c r="M31" s="11">
        <v>23</v>
      </c>
      <c r="N31" s="6" t="s">
        <v>86</v>
      </c>
      <c r="O31" s="11">
        <v>0.5</v>
      </c>
      <c r="P31" s="11" t="s">
        <v>100</v>
      </c>
    </row>
    <row r="32" spans="5:17" x14ac:dyDescent="0.25">
      <c r="M32" s="11">
        <v>24</v>
      </c>
      <c r="N32" s="6" t="s">
        <v>128</v>
      </c>
      <c r="O32" s="11">
        <v>0.5</v>
      </c>
      <c r="P32" s="11" t="s">
        <v>100</v>
      </c>
    </row>
    <row r="33" spans="13:17" x14ac:dyDescent="0.25">
      <c r="M33" s="11">
        <v>25</v>
      </c>
      <c r="N33" s="6" t="s">
        <v>125</v>
      </c>
      <c r="O33" s="11"/>
      <c r="P33" s="11" t="s">
        <v>100</v>
      </c>
      <c r="Q33" t="s">
        <v>188</v>
      </c>
    </row>
    <row r="34" spans="13:17" x14ac:dyDescent="0.25">
      <c r="M34" s="11">
        <v>26</v>
      </c>
      <c r="N34" s="6" t="s">
        <v>114</v>
      </c>
      <c r="O34" s="11">
        <v>15</v>
      </c>
      <c r="P34" s="11" t="s">
        <v>194</v>
      </c>
      <c r="Q34" s="1" t="s">
        <v>195</v>
      </c>
    </row>
    <row r="35" spans="13:17" x14ac:dyDescent="0.25">
      <c r="M35" s="11">
        <v>27</v>
      </c>
      <c r="N35" s="6" t="s">
        <v>85</v>
      </c>
      <c r="O35" s="11">
        <v>2</v>
      </c>
      <c r="P35" s="11" t="s">
        <v>182</v>
      </c>
    </row>
    <row r="36" spans="13:17" x14ac:dyDescent="0.25">
      <c r="M36" s="11">
        <v>28</v>
      </c>
      <c r="N36" s="6" t="s">
        <v>83</v>
      </c>
      <c r="O36" s="11">
        <v>1</v>
      </c>
      <c r="P36" s="11" t="s">
        <v>187</v>
      </c>
    </row>
    <row r="37" spans="13:17" x14ac:dyDescent="0.25">
      <c r="M37" s="11">
        <v>29</v>
      </c>
      <c r="N37" s="6" t="s">
        <v>115</v>
      </c>
      <c r="O37" s="11"/>
      <c r="P37" s="11" t="s">
        <v>189</v>
      </c>
      <c r="Q37" s="2" t="s">
        <v>188</v>
      </c>
    </row>
    <row r="38" spans="13:17" x14ac:dyDescent="0.25">
      <c r="M38" s="11">
        <v>30</v>
      </c>
      <c r="N38" s="6" t="s">
        <v>95</v>
      </c>
      <c r="O38" s="11">
        <v>15</v>
      </c>
      <c r="P38" s="11" t="s">
        <v>100</v>
      </c>
    </row>
    <row r="39" spans="13:17" x14ac:dyDescent="0.25">
      <c r="M39" s="11"/>
      <c r="N39" s="23" t="s">
        <v>230</v>
      </c>
      <c r="O39" s="11"/>
      <c r="P39" s="11"/>
    </row>
    <row r="40" spans="13:17" x14ac:dyDescent="0.25">
      <c r="M40" s="11">
        <v>31</v>
      </c>
      <c r="N40" s="6" t="s">
        <v>169</v>
      </c>
      <c r="O40" s="11">
        <v>110</v>
      </c>
      <c r="P40" s="11" t="s">
        <v>100</v>
      </c>
    </row>
    <row r="41" spans="13:17" x14ac:dyDescent="0.25">
      <c r="M41" s="11">
        <v>32</v>
      </c>
      <c r="N41" s="6" t="s">
        <v>117</v>
      </c>
      <c r="O41" s="11">
        <v>0.5</v>
      </c>
      <c r="P41" s="11" t="s">
        <v>100</v>
      </c>
    </row>
    <row r="42" spans="13:17" x14ac:dyDescent="0.25">
      <c r="M42" s="11">
        <v>33</v>
      </c>
      <c r="N42" s="6" t="s">
        <v>82</v>
      </c>
      <c r="O42" s="11">
        <v>1</v>
      </c>
      <c r="P42" s="11" t="s">
        <v>100</v>
      </c>
    </row>
    <row r="43" spans="13:17" x14ac:dyDescent="0.25">
      <c r="M43" s="11">
        <v>34</v>
      </c>
      <c r="N43" s="6" t="s">
        <v>119</v>
      </c>
      <c r="O43" s="11">
        <v>1</v>
      </c>
      <c r="P43" s="11" t="s">
        <v>100</v>
      </c>
    </row>
    <row r="44" spans="13:17" x14ac:dyDescent="0.25">
      <c r="M44" s="11">
        <v>35</v>
      </c>
      <c r="N44" s="6" t="s">
        <v>120</v>
      </c>
      <c r="O44" s="11">
        <v>2</v>
      </c>
      <c r="P44" s="11" t="s">
        <v>182</v>
      </c>
    </row>
    <row r="45" spans="13:17" x14ac:dyDescent="0.25">
      <c r="M45" s="11">
        <v>36</v>
      </c>
      <c r="N45" s="6" t="s">
        <v>83</v>
      </c>
      <c r="O45" s="11">
        <v>2</v>
      </c>
      <c r="P45" s="11" t="s">
        <v>187</v>
      </c>
    </row>
    <row r="46" spans="13:17" x14ac:dyDescent="0.25">
      <c r="M46" s="11">
        <v>37</v>
      </c>
      <c r="N46" s="6" t="s">
        <v>115</v>
      </c>
      <c r="O46" s="11"/>
      <c r="P46" s="11" t="s">
        <v>189</v>
      </c>
      <c r="Q46" s="1" t="s">
        <v>188</v>
      </c>
    </row>
    <row r="47" spans="13:17" x14ac:dyDescent="0.25">
      <c r="M47" s="11">
        <v>38</v>
      </c>
      <c r="N47" s="6" t="s">
        <v>95</v>
      </c>
      <c r="O47" s="11">
        <v>5</v>
      </c>
      <c r="P47" s="11" t="s">
        <v>100</v>
      </c>
    </row>
    <row r="48" spans="13:17" x14ac:dyDescent="0.25">
      <c r="M48" s="11"/>
      <c r="N48" s="23" t="s">
        <v>231</v>
      </c>
      <c r="O48" s="11"/>
      <c r="P48" s="11"/>
    </row>
    <row r="49" spans="13:16" x14ac:dyDescent="0.25">
      <c r="M49" s="11">
        <v>39</v>
      </c>
      <c r="N49" s="6" t="s">
        <v>131</v>
      </c>
      <c r="O49" s="11">
        <v>115</v>
      </c>
      <c r="P49" s="11" t="s">
        <v>100</v>
      </c>
    </row>
    <row r="50" spans="13:16" x14ac:dyDescent="0.25">
      <c r="M50" s="16"/>
    </row>
  </sheetData>
  <mergeCells count="2">
    <mergeCell ref="C3:I3"/>
    <mergeCell ref="C4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7415-2484-4094-B679-6F3FB2795DC5}">
  <dimension ref="B3:P99"/>
  <sheetViews>
    <sheetView topLeftCell="A8" zoomScale="86" zoomScaleNormal="86" workbookViewId="0">
      <selection activeCell="N17" sqref="N17"/>
    </sheetView>
  </sheetViews>
  <sheetFormatPr defaultRowHeight="15" x14ac:dyDescent="0.25"/>
  <cols>
    <col min="2" max="2" width="28" customWidth="1"/>
    <col min="4" max="4" width="21" customWidth="1"/>
    <col min="9" max="9" width="13.42578125" customWidth="1"/>
    <col min="13" max="13" width="40" customWidth="1"/>
    <col min="16" max="16" width="19.42578125" customWidth="1"/>
  </cols>
  <sheetData>
    <row r="3" spans="2:16" x14ac:dyDescent="0.25">
      <c r="B3" s="59" t="s">
        <v>0</v>
      </c>
      <c r="C3" s="59"/>
      <c r="D3" s="59"/>
      <c r="E3" s="59"/>
      <c r="F3" s="59"/>
      <c r="G3" s="59"/>
      <c r="H3" s="59"/>
    </row>
    <row r="4" spans="2:16" x14ac:dyDescent="0.25">
      <c r="B4" s="60" t="s">
        <v>1</v>
      </c>
      <c r="C4" s="59"/>
      <c r="D4" s="59"/>
      <c r="E4" s="59"/>
      <c r="F4" s="59"/>
      <c r="G4" s="59"/>
      <c r="H4" s="59"/>
    </row>
    <row r="5" spans="2:16" x14ac:dyDescent="0.25">
      <c r="B5" s="3" t="s">
        <v>72</v>
      </c>
      <c r="D5" s="5" t="s">
        <v>13</v>
      </c>
      <c r="L5" s="5" t="s">
        <v>26</v>
      </c>
    </row>
    <row r="6" spans="2:16" x14ac:dyDescent="0.25">
      <c r="B6" t="s">
        <v>28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6" ht="15.75" thickBot="1" x14ac:dyDescent="0.3">
      <c r="D7" s="5"/>
      <c r="M7" s="2" t="s">
        <v>214</v>
      </c>
    </row>
    <row r="8" spans="2:16" ht="28.5" x14ac:dyDescent="0.25">
      <c r="B8" t="s">
        <v>75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39" t="s">
        <v>23</v>
      </c>
      <c r="L8" s="13">
        <v>1</v>
      </c>
      <c r="M8" s="6" t="s">
        <v>80</v>
      </c>
      <c r="N8" s="11">
        <v>95</v>
      </c>
      <c r="O8" s="11" t="s">
        <v>100</v>
      </c>
    </row>
    <row r="9" spans="2:16" ht="15.75" x14ac:dyDescent="0.25">
      <c r="B9" t="s">
        <v>172</v>
      </c>
      <c r="D9" s="22" t="s">
        <v>104</v>
      </c>
      <c r="E9" s="35">
        <v>100</v>
      </c>
      <c r="F9" s="35">
        <v>180</v>
      </c>
      <c r="G9" s="35">
        <v>3</v>
      </c>
      <c r="H9" s="35">
        <v>0.3</v>
      </c>
      <c r="I9" s="35">
        <v>39.799999999999997</v>
      </c>
      <c r="J9" s="35">
        <v>0</v>
      </c>
      <c r="L9" s="13">
        <v>2</v>
      </c>
      <c r="M9" s="6" t="s">
        <v>107</v>
      </c>
      <c r="N9" s="11">
        <v>0.5</v>
      </c>
      <c r="O9" s="11" t="s">
        <v>100</v>
      </c>
    </row>
    <row r="10" spans="2:16" x14ac:dyDescent="0.25">
      <c r="B10" t="s">
        <v>76</v>
      </c>
      <c r="D10" s="22" t="s">
        <v>3</v>
      </c>
      <c r="E10" s="58">
        <v>55</v>
      </c>
      <c r="F10" s="58">
        <v>85.5</v>
      </c>
      <c r="G10" s="58">
        <v>6.8</v>
      </c>
      <c r="H10" s="58">
        <v>6</v>
      </c>
      <c r="I10" s="58">
        <v>0.3</v>
      </c>
      <c r="J10" s="58">
        <v>0</v>
      </c>
      <c r="L10" s="13">
        <v>3</v>
      </c>
      <c r="M10" s="6" t="s">
        <v>108</v>
      </c>
      <c r="N10" s="11">
        <v>0.5</v>
      </c>
      <c r="O10" s="11" t="s">
        <v>100</v>
      </c>
    </row>
    <row r="11" spans="2:16" ht="15.75" x14ac:dyDescent="0.25">
      <c r="B11" t="s">
        <v>43</v>
      </c>
      <c r="D11" s="22" t="s">
        <v>141</v>
      </c>
      <c r="E11" s="35">
        <v>27.5</v>
      </c>
      <c r="F11" s="35">
        <v>22</v>
      </c>
      <c r="G11" s="35">
        <v>3</v>
      </c>
      <c r="H11" s="35">
        <v>1.29</v>
      </c>
      <c r="I11" s="35">
        <v>0.22</v>
      </c>
      <c r="J11" s="35">
        <v>0.03</v>
      </c>
      <c r="L11" s="13">
        <v>4</v>
      </c>
      <c r="M11" s="6" t="s">
        <v>109</v>
      </c>
      <c r="N11" s="11">
        <v>1</v>
      </c>
      <c r="O11" s="11" t="s">
        <v>189</v>
      </c>
      <c r="P11" s="2" t="s">
        <v>190</v>
      </c>
    </row>
    <row r="12" spans="2:16" ht="15.75" x14ac:dyDescent="0.25">
      <c r="D12" s="22" t="s">
        <v>42</v>
      </c>
      <c r="E12" s="35">
        <v>25</v>
      </c>
      <c r="F12" s="35">
        <v>6</v>
      </c>
      <c r="G12" s="35">
        <v>0.33</v>
      </c>
      <c r="H12" s="35">
        <v>0.13</v>
      </c>
      <c r="I12" s="35">
        <v>1.18</v>
      </c>
      <c r="J12" s="35">
        <v>0.38</v>
      </c>
      <c r="L12" s="13">
        <v>5</v>
      </c>
      <c r="M12" s="6" t="s">
        <v>183</v>
      </c>
      <c r="N12" s="11">
        <v>1</v>
      </c>
      <c r="O12" s="11" t="s">
        <v>184</v>
      </c>
    </row>
    <row r="13" spans="2:16" ht="15.75" x14ac:dyDescent="0.25">
      <c r="D13" s="22" t="s">
        <v>173</v>
      </c>
      <c r="E13" s="35">
        <v>25</v>
      </c>
      <c r="F13" s="35">
        <v>2</v>
      </c>
      <c r="G13" s="35">
        <v>0.05</v>
      </c>
      <c r="H13" s="35">
        <v>0.05</v>
      </c>
      <c r="I13" s="35">
        <v>0.35</v>
      </c>
      <c r="J13" s="35">
        <v>7.0000000000000007E-2</v>
      </c>
      <c r="L13" s="13"/>
      <c r="M13" s="23" t="s">
        <v>232</v>
      </c>
      <c r="N13" s="11"/>
      <c r="O13" s="11"/>
    </row>
    <row r="14" spans="2:16" ht="15.75" x14ac:dyDescent="0.25">
      <c r="D14" s="22" t="s">
        <v>43</v>
      </c>
      <c r="E14" s="35">
        <v>32</v>
      </c>
      <c r="F14" s="35">
        <v>24.64</v>
      </c>
      <c r="G14" s="35">
        <v>0.13</v>
      </c>
      <c r="H14" s="35">
        <v>0</v>
      </c>
      <c r="I14" s="35">
        <v>6.69</v>
      </c>
      <c r="J14" s="35">
        <v>0</v>
      </c>
      <c r="L14" s="11">
        <v>6</v>
      </c>
      <c r="M14" s="6" t="s">
        <v>110</v>
      </c>
      <c r="N14" s="11">
        <v>58</v>
      </c>
      <c r="O14" s="11" t="s">
        <v>192</v>
      </c>
    </row>
    <row r="15" spans="2:16" ht="15.75" x14ac:dyDescent="0.25">
      <c r="D15" s="22" t="s">
        <v>20</v>
      </c>
      <c r="E15" s="35">
        <v>5</v>
      </c>
      <c r="F15" s="35">
        <v>44.2</v>
      </c>
      <c r="G15" s="35">
        <v>0</v>
      </c>
      <c r="H15" s="35">
        <v>5</v>
      </c>
      <c r="I15" s="35">
        <v>0</v>
      </c>
      <c r="J15" s="35">
        <v>0</v>
      </c>
      <c r="L15" s="11">
        <v>7</v>
      </c>
      <c r="M15" s="6" t="s">
        <v>82</v>
      </c>
      <c r="N15" s="11">
        <v>4</v>
      </c>
      <c r="O15" s="11" t="s">
        <v>209</v>
      </c>
    </row>
    <row r="16" spans="2:16" x14ac:dyDescent="0.25">
      <c r="D16" s="40" t="s">
        <v>21</v>
      </c>
      <c r="E16" s="42"/>
      <c r="F16" s="40">
        <f>F9+F10+F11+F12+F13+F14+F15</f>
        <v>364.34</v>
      </c>
      <c r="G16" s="40">
        <f>G9+G10+G11+G12+G13+G14+G15</f>
        <v>13.310000000000002</v>
      </c>
      <c r="H16" s="40">
        <f>H9+H10+H11+H12+H13+H14+H15</f>
        <v>12.77</v>
      </c>
      <c r="I16" s="40">
        <f>I9+I10+I11+I12+I13+I14+I15</f>
        <v>48.539999999999992</v>
      </c>
      <c r="J16" s="40">
        <f>J11+J12+J13</f>
        <v>0.48000000000000004</v>
      </c>
      <c r="L16" s="11">
        <v>8</v>
      </c>
      <c r="M16" s="6" t="s">
        <v>111</v>
      </c>
      <c r="N16" s="11">
        <v>2</v>
      </c>
      <c r="O16" s="11" t="s">
        <v>209</v>
      </c>
    </row>
    <row r="17" spans="4:16" x14ac:dyDescent="0.25">
      <c r="D17" s="64"/>
      <c r="E17" s="65"/>
      <c r="F17" s="64"/>
      <c r="G17" s="64"/>
      <c r="H17" s="64"/>
      <c r="I17" s="64"/>
      <c r="J17" s="64"/>
      <c r="L17" s="11"/>
      <c r="M17" s="6" t="s">
        <v>130</v>
      </c>
      <c r="N17" s="11">
        <v>25</v>
      </c>
      <c r="O17" s="11" t="s">
        <v>100</v>
      </c>
    </row>
    <row r="18" spans="4:16" x14ac:dyDescent="0.25">
      <c r="L18" s="14">
        <v>9</v>
      </c>
      <c r="M18" s="6" t="s">
        <v>112</v>
      </c>
      <c r="N18" s="11">
        <v>3</v>
      </c>
      <c r="O18" s="11" t="s">
        <v>209</v>
      </c>
    </row>
    <row r="19" spans="4:16" ht="15.75" x14ac:dyDescent="0.25">
      <c r="D19" s="8" t="s">
        <v>24</v>
      </c>
      <c r="L19" s="14">
        <v>10</v>
      </c>
      <c r="M19" s="6" t="s">
        <v>86</v>
      </c>
      <c r="N19" s="11">
        <v>0.5</v>
      </c>
      <c r="O19" s="11" t="s">
        <v>209</v>
      </c>
    </row>
    <row r="20" spans="4:16" ht="28.5" x14ac:dyDescent="0.25">
      <c r="D20" s="39" t="s">
        <v>14</v>
      </c>
      <c r="E20" s="39" t="s">
        <v>15</v>
      </c>
      <c r="F20" s="39" t="s">
        <v>16</v>
      </c>
      <c r="G20" s="39" t="s">
        <v>17</v>
      </c>
      <c r="H20" s="39" t="s">
        <v>18</v>
      </c>
      <c r="I20" s="39" t="s">
        <v>19</v>
      </c>
      <c r="J20" s="39" t="s">
        <v>23</v>
      </c>
      <c r="L20" s="14">
        <v>11</v>
      </c>
      <c r="M20" s="6" t="s">
        <v>113</v>
      </c>
      <c r="N20" s="11">
        <v>0.5</v>
      </c>
      <c r="O20" s="11" t="s">
        <v>209</v>
      </c>
    </row>
    <row r="21" spans="4:16" ht="15.75" x14ac:dyDescent="0.25">
      <c r="D21" s="22" t="s">
        <v>104</v>
      </c>
      <c r="E21" s="35">
        <v>200</v>
      </c>
      <c r="F21" s="35">
        <v>360</v>
      </c>
      <c r="G21" s="35">
        <v>6</v>
      </c>
      <c r="H21" s="35">
        <v>0.6</v>
      </c>
      <c r="I21" s="35">
        <v>79.599999999999994</v>
      </c>
      <c r="J21" s="35">
        <v>0</v>
      </c>
      <c r="L21" s="14">
        <v>12</v>
      </c>
      <c r="M21" s="6" t="s">
        <v>85</v>
      </c>
      <c r="N21" s="11">
        <v>2</v>
      </c>
      <c r="O21" s="11" t="s">
        <v>210</v>
      </c>
    </row>
    <row r="22" spans="4:16" x14ac:dyDescent="0.25">
      <c r="D22" s="22" t="s">
        <v>3</v>
      </c>
      <c r="E22" s="58">
        <v>55</v>
      </c>
      <c r="F22" s="58">
        <v>85.5</v>
      </c>
      <c r="G22" s="58">
        <v>6.8</v>
      </c>
      <c r="H22" s="58">
        <v>6</v>
      </c>
      <c r="I22" s="58">
        <v>0.3</v>
      </c>
      <c r="J22" s="58">
        <v>0</v>
      </c>
      <c r="L22" s="14">
        <v>13</v>
      </c>
      <c r="M22" s="6" t="s">
        <v>97</v>
      </c>
      <c r="N22" s="11">
        <v>2</v>
      </c>
      <c r="O22" s="11" t="s">
        <v>187</v>
      </c>
    </row>
    <row r="23" spans="4:16" ht="15.75" x14ac:dyDescent="0.25">
      <c r="D23" s="22" t="s">
        <v>141</v>
      </c>
      <c r="E23" s="35">
        <v>55</v>
      </c>
      <c r="F23" s="35">
        <v>44</v>
      </c>
      <c r="G23" s="35">
        <v>6</v>
      </c>
      <c r="H23" s="35">
        <v>2.58</v>
      </c>
      <c r="I23" s="35">
        <v>0.44</v>
      </c>
      <c r="J23" s="35">
        <v>0.06</v>
      </c>
      <c r="L23" s="14">
        <v>14</v>
      </c>
      <c r="M23" s="6" t="s">
        <v>98</v>
      </c>
      <c r="N23" s="11"/>
      <c r="O23" s="11"/>
      <c r="P23" s="1" t="s">
        <v>196</v>
      </c>
    </row>
    <row r="24" spans="4:16" ht="15.75" x14ac:dyDescent="0.25">
      <c r="D24" s="22" t="s">
        <v>42</v>
      </c>
      <c r="E24" s="35">
        <v>25</v>
      </c>
      <c r="F24" s="35">
        <v>6</v>
      </c>
      <c r="G24" s="35">
        <v>0.33</v>
      </c>
      <c r="H24" s="35">
        <v>0.13</v>
      </c>
      <c r="I24" s="35">
        <v>1.18</v>
      </c>
      <c r="J24" s="35">
        <v>0.38</v>
      </c>
      <c r="L24" s="15">
        <v>15</v>
      </c>
      <c r="M24" s="6" t="s">
        <v>115</v>
      </c>
      <c r="N24" s="11"/>
      <c r="O24" s="11"/>
      <c r="P24" s="1" t="s">
        <v>196</v>
      </c>
    </row>
    <row r="25" spans="4:16" ht="15.75" x14ac:dyDescent="0.25">
      <c r="D25" s="22" t="s">
        <v>173</v>
      </c>
      <c r="E25" s="35">
        <v>25</v>
      </c>
      <c r="F25" s="35">
        <v>2</v>
      </c>
      <c r="G25" s="35">
        <v>0.05</v>
      </c>
      <c r="H25" s="35">
        <v>0.05</v>
      </c>
      <c r="I25" s="35">
        <v>0.35</v>
      </c>
      <c r="J25" s="35">
        <v>7.0000000000000007E-2</v>
      </c>
      <c r="L25" s="11">
        <v>16</v>
      </c>
      <c r="M25" s="6" t="s">
        <v>95</v>
      </c>
      <c r="N25" s="11">
        <v>30</v>
      </c>
      <c r="O25" s="11"/>
      <c r="P25" s="1"/>
    </row>
    <row r="26" spans="4:16" ht="15.75" x14ac:dyDescent="0.25">
      <c r="D26" s="22" t="s">
        <v>43</v>
      </c>
      <c r="E26" s="35">
        <v>32</v>
      </c>
      <c r="F26" s="35">
        <v>24.64</v>
      </c>
      <c r="G26" s="35">
        <v>0.13</v>
      </c>
      <c r="H26" s="35">
        <v>0</v>
      </c>
      <c r="I26" s="35">
        <v>6.69</v>
      </c>
      <c r="J26" s="35">
        <v>0</v>
      </c>
      <c r="L26" s="11"/>
      <c r="M26" s="23" t="s">
        <v>233</v>
      </c>
      <c r="N26" s="11"/>
      <c r="O26" s="11"/>
      <c r="P26" s="1"/>
    </row>
    <row r="27" spans="4:16" ht="15.75" x14ac:dyDescent="0.25">
      <c r="D27" s="22" t="s">
        <v>20</v>
      </c>
      <c r="E27" s="35">
        <v>7.5</v>
      </c>
      <c r="F27" s="35">
        <v>66.3</v>
      </c>
      <c r="G27" s="35">
        <v>0</v>
      </c>
      <c r="H27" s="35">
        <v>7.5</v>
      </c>
      <c r="I27" s="35">
        <v>0</v>
      </c>
      <c r="J27" s="35">
        <v>0</v>
      </c>
      <c r="L27" s="11">
        <v>17</v>
      </c>
      <c r="M27" s="6" t="s">
        <v>170</v>
      </c>
      <c r="N27" s="20">
        <v>12</v>
      </c>
      <c r="O27" s="20" t="s">
        <v>185</v>
      </c>
      <c r="P27" s="1" t="s">
        <v>201</v>
      </c>
    </row>
    <row r="28" spans="4:16" x14ac:dyDescent="0.25">
      <c r="D28" s="40" t="s">
        <v>21</v>
      </c>
      <c r="E28" s="42"/>
      <c r="F28" s="40">
        <f>F21+F22+F23+F24+F25+F26+F27</f>
        <v>588.43999999999994</v>
      </c>
      <c r="G28" s="40">
        <f>G21+G22+G23+G24+G25+G26+G27</f>
        <v>19.309999999999999</v>
      </c>
      <c r="H28" s="40">
        <f>H21+H22+H23+H24+H25+H26+H27</f>
        <v>16.86</v>
      </c>
      <c r="I28" s="40">
        <f>I21+I22+I23+I24+I25+I26+I27</f>
        <v>88.559999999999988</v>
      </c>
      <c r="J28" s="40">
        <f>J21+J22+J23+J24+J25+J26+J27</f>
        <v>0.51</v>
      </c>
      <c r="L28" s="11">
        <v>18</v>
      </c>
      <c r="M28" s="6" t="s">
        <v>143</v>
      </c>
      <c r="N28" s="11">
        <v>1</v>
      </c>
      <c r="O28" s="11" t="s">
        <v>100</v>
      </c>
      <c r="P28" s="1"/>
    </row>
    <row r="29" spans="4:16" x14ac:dyDescent="0.25">
      <c r="L29" s="11">
        <v>19</v>
      </c>
      <c r="M29" s="6" t="s">
        <v>109</v>
      </c>
      <c r="N29" s="11"/>
      <c r="O29" s="11"/>
      <c r="P29" s="1" t="s">
        <v>196</v>
      </c>
    </row>
    <row r="30" spans="4:16" x14ac:dyDescent="0.25">
      <c r="D30" s="10"/>
      <c r="E30" s="10"/>
      <c r="F30" s="10"/>
      <c r="G30" s="10"/>
      <c r="H30" s="10"/>
      <c r="I30" s="10"/>
      <c r="J30" s="10"/>
      <c r="L30" s="11">
        <v>20</v>
      </c>
      <c r="M30" s="6" t="s">
        <v>82</v>
      </c>
      <c r="N30" s="11">
        <v>1</v>
      </c>
      <c r="O30" s="11" t="s">
        <v>100</v>
      </c>
    </row>
    <row r="31" spans="4:16" x14ac:dyDescent="0.25">
      <c r="L31" s="11">
        <v>21</v>
      </c>
      <c r="M31" s="6" t="s">
        <v>113</v>
      </c>
      <c r="N31" s="11">
        <v>0.5</v>
      </c>
      <c r="O31" s="11" t="s">
        <v>100</v>
      </c>
    </row>
    <row r="32" spans="4:16" x14ac:dyDescent="0.25">
      <c r="L32" s="11">
        <v>22</v>
      </c>
      <c r="M32" s="6" t="s">
        <v>112</v>
      </c>
      <c r="N32" s="11">
        <v>1</v>
      </c>
      <c r="O32" s="11" t="s">
        <v>100</v>
      </c>
    </row>
    <row r="33" spans="12:16" x14ac:dyDescent="0.25">
      <c r="L33" s="11">
        <v>23</v>
      </c>
      <c r="M33" s="6" t="s">
        <v>86</v>
      </c>
      <c r="N33" s="11">
        <v>0.5</v>
      </c>
      <c r="O33" s="11" t="s">
        <v>100</v>
      </c>
    </row>
    <row r="34" spans="12:16" x14ac:dyDescent="0.25">
      <c r="L34" s="11">
        <v>24</v>
      </c>
      <c r="M34" s="6" t="s">
        <v>85</v>
      </c>
      <c r="N34" s="11">
        <v>2</v>
      </c>
      <c r="O34" s="11" t="s">
        <v>182</v>
      </c>
    </row>
    <row r="35" spans="12:16" x14ac:dyDescent="0.25">
      <c r="L35" s="11">
        <v>25</v>
      </c>
      <c r="M35" s="6" t="s">
        <v>114</v>
      </c>
      <c r="N35" s="11">
        <v>5</v>
      </c>
      <c r="O35" s="11" t="s">
        <v>194</v>
      </c>
      <c r="P35" s="1" t="s">
        <v>195</v>
      </c>
    </row>
    <row r="36" spans="12:16" x14ac:dyDescent="0.25">
      <c r="L36" s="11">
        <v>26</v>
      </c>
      <c r="M36" s="6" t="s">
        <v>97</v>
      </c>
      <c r="N36" s="11">
        <v>2</v>
      </c>
      <c r="O36" s="11" t="s">
        <v>187</v>
      </c>
    </row>
    <row r="37" spans="12:16" x14ac:dyDescent="0.25">
      <c r="L37" s="11">
        <v>27</v>
      </c>
      <c r="M37" s="6" t="s">
        <v>171</v>
      </c>
      <c r="N37" s="11">
        <v>2</v>
      </c>
      <c r="O37" s="11" t="s">
        <v>187</v>
      </c>
    </row>
    <row r="38" spans="12:16" x14ac:dyDescent="0.25">
      <c r="L38" s="11">
        <v>28</v>
      </c>
      <c r="M38" s="6" t="s">
        <v>95</v>
      </c>
      <c r="N38" s="11">
        <v>15</v>
      </c>
      <c r="O38" s="11" t="s">
        <v>100</v>
      </c>
    </row>
    <row r="39" spans="12:16" x14ac:dyDescent="0.25">
      <c r="L39" s="11"/>
      <c r="M39" s="23" t="s">
        <v>221</v>
      </c>
      <c r="N39" s="11"/>
      <c r="O39" s="11"/>
    </row>
    <row r="40" spans="12:16" x14ac:dyDescent="0.25">
      <c r="L40" s="11">
        <v>29</v>
      </c>
      <c r="M40" s="6" t="s">
        <v>40</v>
      </c>
      <c r="N40" s="11">
        <v>30</v>
      </c>
      <c r="O40" s="11" t="s">
        <v>100</v>
      </c>
    </row>
    <row r="41" spans="12:16" x14ac:dyDescent="0.25">
      <c r="L41" s="11">
        <v>30</v>
      </c>
      <c r="M41" s="6" t="s">
        <v>42</v>
      </c>
      <c r="N41" s="11">
        <v>30</v>
      </c>
      <c r="O41" s="11" t="s">
        <v>100</v>
      </c>
    </row>
    <row r="42" spans="12:16" x14ac:dyDescent="0.25">
      <c r="L42" s="11"/>
      <c r="M42" s="23" t="s">
        <v>213</v>
      </c>
      <c r="N42" s="11"/>
      <c r="O42" s="11"/>
    </row>
    <row r="43" spans="12:16" x14ac:dyDescent="0.25">
      <c r="L43" s="11">
        <v>31</v>
      </c>
      <c r="M43" s="6" t="s">
        <v>140</v>
      </c>
      <c r="N43" s="11">
        <v>75</v>
      </c>
      <c r="O43" s="11" t="s">
        <v>100</v>
      </c>
    </row>
    <row r="71" spans="12:15" x14ac:dyDescent="0.25">
      <c r="L71" s="9"/>
      <c r="M71" s="9"/>
      <c r="N71" s="9"/>
      <c r="O71" s="9"/>
    </row>
    <row r="72" spans="12:15" x14ac:dyDescent="0.25">
      <c r="L72" s="6"/>
      <c r="M72" s="6"/>
      <c r="N72" s="6"/>
      <c r="O72" s="6"/>
    </row>
    <row r="73" spans="12:15" x14ac:dyDescent="0.25">
      <c r="L73" s="6"/>
      <c r="M73" s="6"/>
      <c r="N73" s="6"/>
      <c r="O73" s="6"/>
    </row>
    <row r="74" spans="12:15" x14ac:dyDescent="0.25">
      <c r="L74" s="6"/>
      <c r="M74" s="6"/>
      <c r="N74" s="6"/>
      <c r="O74" s="6"/>
    </row>
    <row r="75" spans="12:15" x14ac:dyDescent="0.25">
      <c r="L75" s="6"/>
      <c r="M75" s="6"/>
      <c r="N75" s="6"/>
      <c r="O75" s="6"/>
    </row>
    <row r="76" spans="12:15" x14ac:dyDescent="0.25">
      <c r="L76" s="6"/>
      <c r="M76" s="6"/>
      <c r="N76" s="6"/>
      <c r="O76" s="6"/>
    </row>
    <row r="77" spans="12:15" x14ac:dyDescent="0.25">
      <c r="L77" s="6"/>
      <c r="M77" s="6"/>
      <c r="N77" s="6"/>
      <c r="O77" s="6"/>
    </row>
    <row r="78" spans="12:15" x14ac:dyDescent="0.25">
      <c r="L78" s="6"/>
      <c r="M78" s="6"/>
      <c r="N78" s="6"/>
      <c r="O78" s="6"/>
    </row>
    <row r="79" spans="12:15" x14ac:dyDescent="0.25">
      <c r="L79" s="6"/>
      <c r="M79" s="6"/>
      <c r="N79" s="6"/>
      <c r="O79" s="6"/>
    </row>
    <row r="80" spans="12:15" x14ac:dyDescent="0.25">
      <c r="L80" s="6"/>
      <c r="M80" s="6"/>
      <c r="N80" s="6"/>
      <c r="O80" s="6"/>
    </row>
    <row r="81" spans="12:15" x14ac:dyDescent="0.25">
      <c r="L81" s="6"/>
      <c r="M81" s="6"/>
      <c r="N81" s="6"/>
      <c r="O81" s="6"/>
    </row>
    <row r="82" spans="12:15" x14ac:dyDescent="0.25">
      <c r="L82" s="6"/>
      <c r="M82" s="6"/>
      <c r="N82" s="6"/>
      <c r="O82" s="6"/>
    </row>
    <row r="83" spans="12:15" x14ac:dyDescent="0.25">
      <c r="L83" s="6"/>
      <c r="M83" s="6"/>
      <c r="N83" s="6"/>
      <c r="O83" s="6"/>
    </row>
    <row r="84" spans="12:15" x14ac:dyDescent="0.25">
      <c r="L84" s="6"/>
      <c r="M84" s="6"/>
      <c r="N84" s="6"/>
      <c r="O84" s="6"/>
    </row>
    <row r="85" spans="12:15" x14ac:dyDescent="0.25">
      <c r="L85" s="6"/>
      <c r="M85" s="6"/>
      <c r="N85" s="6"/>
      <c r="O85" s="6"/>
    </row>
    <row r="86" spans="12:15" x14ac:dyDescent="0.25">
      <c r="L86" s="6"/>
      <c r="M86" s="6"/>
      <c r="N86" s="6"/>
      <c r="O86" s="6"/>
    </row>
    <row r="87" spans="12:15" x14ac:dyDescent="0.25">
      <c r="L87" s="6"/>
      <c r="M87" s="6"/>
      <c r="N87" s="6"/>
      <c r="O87" s="6"/>
    </row>
    <row r="88" spans="12:15" x14ac:dyDescent="0.25">
      <c r="L88" s="6"/>
      <c r="M88" s="6"/>
      <c r="N88" s="6"/>
      <c r="O88" s="6"/>
    </row>
    <row r="89" spans="12:15" x14ac:dyDescent="0.25">
      <c r="L89" s="6"/>
      <c r="M89" s="6"/>
      <c r="N89" s="6"/>
      <c r="O89" s="6"/>
    </row>
    <row r="90" spans="12:15" x14ac:dyDescent="0.25">
      <c r="L90" s="6"/>
      <c r="M90" s="6"/>
      <c r="N90" s="6"/>
      <c r="O90" s="6"/>
    </row>
    <row r="91" spans="12:15" x14ac:dyDescent="0.25">
      <c r="L91" s="6"/>
      <c r="M91" s="6"/>
      <c r="N91" s="6"/>
      <c r="O91" s="6"/>
    </row>
    <row r="92" spans="12:15" x14ac:dyDescent="0.25">
      <c r="L92" s="6"/>
      <c r="M92" s="6"/>
      <c r="N92" s="6"/>
      <c r="O92" s="6"/>
    </row>
    <row r="93" spans="12:15" x14ac:dyDescent="0.25">
      <c r="L93" s="6"/>
      <c r="M93" s="6"/>
      <c r="N93" s="6"/>
      <c r="O93" s="6"/>
    </row>
    <row r="94" spans="12:15" x14ac:dyDescent="0.25">
      <c r="L94" s="6"/>
      <c r="M94" s="6"/>
      <c r="N94" s="6"/>
      <c r="O94" s="6"/>
    </row>
    <row r="95" spans="12:15" x14ac:dyDescent="0.25">
      <c r="L95" s="6"/>
      <c r="M95" s="6"/>
      <c r="N95" s="6"/>
      <c r="O95" s="6"/>
    </row>
    <row r="96" spans="12:15" x14ac:dyDescent="0.25">
      <c r="L96" s="6"/>
      <c r="M96" s="6"/>
      <c r="N96" s="6"/>
      <c r="O96" s="6"/>
    </row>
    <row r="97" spans="12:15" x14ac:dyDescent="0.25">
      <c r="L97" s="6"/>
      <c r="M97" s="6"/>
      <c r="N97" s="6"/>
      <c r="O97" s="6"/>
    </row>
    <row r="98" spans="12:15" x14ac:dyDescent="0.25">
      <c r="L98" s="6"/>
      <c r="M98" s="6"/>
      <c r="N98" s="6"/>
      <c r="O98" s="6"/>
    </row>
    <row r="99" spans="12:15" x14ac:dyDescent="0.25">
      <c r="L99" s="6"/>
      <c r="M99" s="6"/>
      <c r="N99" s="6"/>
      <c r="O99" s="6"/>
    </row>
  </sheetData>
  <mergeCells count="2">
    <mergeCell ref="B3:H3"/>
    <mergeCell ref="B4:H4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3244-AF5F-4EEE-BE96-3213B69AD6F1}">
  <dimension ref="B3:P40"/>
  <sheetViews>
    <sheetView topLeftCell="B7" zoomScale="84" zoomScaleNormal="84" workbookViewId="0">
      <selection activeCell="N18" sqref="N18"/>
    </sheetView>
  </sheetViews>
  <sheetFormatPr defaultRowHeight="15" x14ac:dyDescent="0.25"/>
  <cols>
    <col min="2" max="2" width="25" customWidth="1"/>
    <col min="4" max="4" width="25.140625" customWidth="1"/>
    <col min="9" max="9" width="12.42578125" customWidth="1"/>
    <col min="12" max="12" width="5.7109375" customWidth="1"/>
    <col min="13" max="13" width="35.28515625" customWidth="1"/>
    <col min="16" max="16" width="29.5703125" customWidth="1"/>
  </cols>
  <sheetData>
    <row r="3" spans="2:16" x14ac:dyDescent="0.25">
      <c r="B3" s="59" t="s">
        <v>0</v>
      </c>
      <c r="C3" s="59"/>
      <c r="D3" s="59"/>
      <c r="E3" s="59"/>
      <c r="F3" s="59"/>
      <c r="G3" s="59"/>
      <c r="H3" s="59"/>
    </row>
    <row r="4" spans="2:16" x14ac:dyDescent="0.25">
      <c r="B4" s="60" t="s">
        <v>1</v>
      </c>
      <c r="C4" s="59"/>
      <c r="D4" s="59"/>
      <c r="E4" s="59"/>
      <c r="F4" s="59"/>
      <c r="G4" s="59"/>
      <c r="H4" s="59"/>
    </row>
    <row r="5" spans="2:16" x14ac:dyDescent="0.25">
      <c r="B5" s="3" t="s">
        <v>73</v>
      </c>
      <c r="D5" s="5" t="s">
        <v>13</v>
      </c>
      <c r="L5" s="5" t="s">
        <v>26</v>
      </c>
    </row>
    <row r="6" spans="2:16" x14ac:dyDescent="0.25">
      <c r="B6" t="s">
        <v>4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6" ht="15.75" thickBot="1" x14ac:dyDescent="0.3">
      <c r="D7" s="5"/>
      <c r="L7" s="13">
        <v>1</v>
      </c>
      <c r="M7" s="6" t="s">
        <v>121</v>
      </c>
      <c r="N7" s="11">
        <v>95</v>
      </c>
      <c r="O7" s="11" t="s">
        <v>100</v>
      </c>
    </row>
    <row r="8" spans="2:16" ht="28.5" x14ac:dyDescent="0.25">
      <c r="B8" t="s">
        <v>174</v>
      </c>
      <c r="D8" s="36" t="s">
        <v>14</v>
      </c>
      <c r="E8" s="37" t="s">
        <v>15</v>
      </c>
      <c r="F8" s="37" t="s">
        <v>16</v>
      </c>
      <c r="G8" s="37" t="s">
        <v>17</v>
      </c>
      <c r="H8" s="37" t="s">
        <v>18</v>
      </c>
      <c r="I8" s="38" t="s">
        <v>19</v>
      </c>
      <c r="J8" s="46" t="s">
        <v>23</v>
      </c>
      <c r="L8" s="13"/>
      <c r="M8" s="23" t="s">
        <v>234</v>
      </c>
      <c r="N8" s="11"/>
      <c r="O8" s="11"/>
    </row>
    <row r="9" spans="2:16" ht="15.75" x14ac:dyDescent="0.25">
      <c r="B9" t="s">
        <v>5</v>
      </c>
      <c r="D9" s="11" t="s">
        <v>48</v>
      </c>
      <c r="E9" s="35">
        <v>100</v>
      </c>
      <c r="F9" s="35">
        <v>180</v>
      </c>
      <c r="G9" s="35">
        <v>3</v>
      </c>
      <c r="H9" s="35">
        <v>0.3</v>
      </c>
      <c r="I9" s="35">
        <v>39.799999999999997</v>
      </c>
      <c r="J9" s="35">
        <v>0</v>
      </c>
      <c r="L9" s="13">
        <v>2</v>
      </c>
      <c r="M9" s="6" t="s">
        <v>142</v>
      </c>
      <c r="N9" s="20">
        <v>150</v>
      </c>
      <c r="O9" s="20" t="s">
        <v>100</v>
      </c>
      <c r="P9" s="1" t="s">
        <v>202</v>
      </c>
    </row>
    <row r="10" spans="2:16" ht="15.75" x14ac:dyDescent="0.25">
      <c r="B10" t="s">
        <v>77</v>
      </c>
      <c r="D10" s="11" t="s">
        <v>142</v>
      </c>
      <c r="E10" s="35">
        <v>40</v>
      </c>
      <c r="F10" s="35">
        <v>38.4</v>
      </c>
      <c r="G10" s="35">
        <v>8.0299999999999994</v>
      </c>
      <c r="H10" s="35">
        <v>0.68</v>
      </c>
      <c r="I10" s="35">
        <v>0</v>
      </c>
      <c r="J10" s="35">
        <v>0</v>
      </c>
      <c r="L10" s="13">
        <v>3</v>
      </c>
      <c r="M10" s="6" t="s">
        <v>130</v>
      </c>
      <c r="N10" s="11">
        <v>15</v>
      </c>
      <c r="O10" s="11" t="s">
        <v>100</v>
      </c>
    </row>
    <row r="11" spans="2:16" ht="15.75" x14ac:dyDescent="0.25">
      <c r="B11" t="s">
        <v>176</v>
      </c>
      <c r="D11" s="11" t="s">
        <v>33</v>
      </c>
      <c r="E11" s="35">
        <v>12.5</v>
      </c>
      <c r="F11" s="35">
        <v>25.13</v>
      </c>
      <c r="G11" s="35">
        <v>2.6</v>
      </c>
      <c r="H11" s="35">
        <v>1.1000000000000001</v>
      </c>
      <c r="I11" s="35">
        <v>1.69</v>
      </c>
      <c r="J11" s="35">
        <v>0.17</v>
      </c>
      <c r="L11" s="13">
        <v>4</v>
      </c>
      <c r="M11" s="6" t="s">
        <v>82</v>
      </c>
      <c r="N11" s="11">
        <v>3</v>
      </c>
      <c r="O11" s="11" t="s">
        <v>100</v>
      </c>
    </row>
    <row r="12" spans="2:16" ht="15.75" x14ac:dyDescent="0.25">
      <c r="D12" s="11" t="s">
        <v>175</v>
      </c>
      <c r="E12" s="35">
        <v>50</v>
      </c>
      <c r="F12" s="35">
        <v>15</v>
      </c>
      <c r="G12" s="35">
        <v>1.5</v>
      </c>
      <c r="H12" s="35">
        <v>0.11</v>
      </c>
      <c r="I12" s="35">
        <v>3</v>
      </c>
      <c r="J12" s="35">
        <v>0.89</v>
      </c>
      <c r="L12" s="13">
        <v>5</v>
      </c>
      <c r="M12" s="6" t="s">
        <v>117</v>
      </c>
      <c r="N12" s="11">
        <v>1.5</v>
      </c>
      <c r="O12" s="11" t="s">
        <v>100</v>
      </c>
    </row>
    <row r="13" spans="2:16" ht="15.75" x14ac:dyDescent="0.25">
      <c r="D13" s="11" t="s">
        <v>7</v>
      </c>
      <c r="E13" s="35">
        <v>50</v>
      </c>
      <c r="F13" s="35">
        <v>50</v>
      </c>
      <c r="G13" s="35">
        <v>0</v>
      </c>
      <c r="H13" s="35">
        <v>0</v>
      </c>
      <c r="I13" s="35">
        <v>12</v>
      </c>
      <c r="J13" s="35">
        <v>0</v>
      </c>
      <c r="L13" s="13">
        <v>6</v>
      </c>
      <c r="M13" s="6" t="s">
        <v>123</v>
      </c>
      <c r="N13" s="11">
        <v>4</v>
      </c>
      <c r="O13" s="11" t="s">
        <v>100</v>
      </c>
    </row>
    <row r="14" spans="2:16" ht="15.75" x14ac:dyDescent="0.25">
      <c r="D14" s="11" t="s">
        <v>20</v>
      </c>
      <c r="E14" s="35">
        <v>5</v>
      </c>
      <c r="F14" s="35">
        <v>44.2</v>
      </c>
      <c r="G14" s="35">
        <v>0</v>
      </c>
      <c r="H14" s="35">
        <v>5</v>
      </c>
      <c r="I14" s="35">
        <v>0</v>
      </c>
      <c r="J14" s="35">
        <v>0</v>
      </c>
      <c r="L14" s="13">
        <v>7</v>
      </c>
      <c r="M14" s="6" t="s">
        <v>168</v>
      </c>
      <c r="N14" s="11">
        <v>3</v>
      </c>
      <c r="O14" s="11" t="s">
        <v>100</v>
      </c>
      <c r="P14" s="33"/>
    </row>
    <row r="15" spans="2:16" ht="15.75" x14ac:dyDescent="0.25">
      <c r="D15" s="40" t="s">
        <v>21</v>
      </c>
      <c r="E15" s="40"/>
      <c r="F15" s="41">
        <v>352.73</v>
      </c>
      <c r="G15" s="41">
        <v>15.13</v>
      </c>
      <c r="H15" s="41">
        <v>7.19</v>
      </c>
      <c r="I15" s="41">
        <v>56.49</v>
      </c>
      <c r="J15" s="41">
        <v>1.06</v>
      </c>
      <c r="L15" s="11">
        <v>8</v>
      </c>
      <c r="M15" s="6" t="s">
        <v>112</v>
      </c>
      <c r="N15" s="11">
        <v>3</v>
      </c>
      <c r="O15" s="11" t="s">
        <v>100</v>
      </c>
      <c r="P15" s="33"/>
    </row>
    <row r="16" spans="2:16" ht="15.75" x14ac:dyDescent="0.25">
      <c r="F16" s="34"/>
      <c r="G16" s="34"/>
      <c r="H16" s="34"/>
      <c r="I16" s="34"/>
      <c r="J16" s="34"/>
      <c r="L16" s="11">
        <v>9</v>
      </c>
      <c r="M16" s="6" t="s">
        <v>101</v>
      </c>
      <c r="N16" s="11">
        <v>1</v>
      </c>
      <c r="O16" s="11" t="s">
        <v>189</v>
      </c>
      <c r="P16" s="2" t="s">
        <v>190</v>
      </c>
    </row>
    <row r="17" spans="4:16" ht="15.75" x14ac:dyDescent="0.25">
      <c r="D17" s="8" t="s">
        <v>24</v>
      </c>
      <c r="L17" s="11">
        <v>10</v>
      </c>
      <c r="M17" s="6" t="s">
        <v>183</v>
      </c>
      <c r="N17" s="11">
        <v>1</v>
      </c>
      <c r="O17" s="11" t="s">
        <v>184</v>
      </c>
      <c r="P17" s="33"/>
    </row>
    <row r="18" spans="4:16" ht="28.5" x14ac:dyDescent="0.25">
      <c r="D18" s="39" t="s">
        <v>14</v>
      </c>
      <c r="E18" s="39" t="s">
        <v>15</v>
      </c>
      <c r="F18" s="39" t="s">
        <v>16</v>
      </c>
      <c r="G18" s="39" t="s">
        <v>17</v>
      </c>
      <c r="H18" s="39" t="s">
        <v>18</v>
      </c>
      <c r="I18" s="39" t="s">
        <v>19</v>
      </c>
      <c r="J18" s="39" t="s">
        <v>23</v>
      </c>
      <c r="L18" s="14">
        <v>11</v>
      </c>
      <c r="M18" s="6" t="s">
        <v>87</v>
      </c>
      <c r="N18" s="11"/>
      <c r="O18" s="11"/>
      <c r="P18" s="33" t="s">
        <v>203</v>
      </c>
    </row>
    <row r="19" spans="4:16" ht="15.75" x14ac:dyDescent="0.25">
      <c r="D19" s="11" t="s">
        <v>48</v>
      </c>
      <c r="E19" s="35">
        <v>200</v>
      </c>
      <c r="F19" s="35">
        <v>360</v>
      </c>
      <c r="G19" s="35">
        <v>6</v>
      </c>
      <c r="H19" s="35">
        <v>0.6</v>
      </c>
      <c r="I19" s="35">
        <v>79.599999999999994</v>
      </c>
      <c r="J19" s="35">
        <v>0</v>
      </c>
      <c r="L19" s="14">
        <v>12</v>
      </c>
      <c r="M19" s="6" t="s">
        <v>115</v>
      </c>
      <c r="N19" s="11"/>
      <c r="O19" s="11"/>
      <c r="P19" s="33" t="s">
        <v>203</v>
      </c>
    </row>
    <row r="20" spans="4:16" ht="15.75" x14ac:dyDescent="0.25">
      <c r="D20" s="11" t="s">
        <v>142</v>
      </c>
      <c r="E20" s="35">
        <v>60</v>
      </c>
      <c r="F20" s="35">
        <v>57.6</v>
      </c>
      <c r="G20" s="35">
        <v>12.05</v>
      </c>
      <c r="H20" s="35">
        <v>1.02</v>
      </c>
      <c r="I20" s="35">
        <v>0</v>
      </c>
      <c r="J20" s="35">
        <v>0</v>
      </c>
      <c r="L20" s="14">
        <v>13</v>
      </c>
      <c r="M20" s="6" t="s">
        <v>125</v>
      </c>
      <c r="N20" s="11">
        <v>0.5</v>
      </c>
      <c r="O20" s="11" t="s">
        <v>209</v>
      </c>
    </row>
    <row r="21" spans="4:16" ht="15.75" x14ac:dyDescent="0.25">
      <c r="D21" s="11" t="s">
        <v>33</v>
      </c>
      <c r="E21" s="35">
        <v>25</v>
      </c>
      <c r="F21" s="35">
        <v>50.25</v>
      </c>
      <c r="G21" s="35">
        <v>5.2</v>
      </c>
      <c r="H21" s="35">
        <v>2.2000000000000002</v>
      </c>
      <c r="I21" s="35">
        <v>3.38</v>
      </c>
      <c r="J21" s="35">
        <v>0.35</v>
      </c>
      <c r="L21" s="14">
        <v>14</v>
      </c>
      <c r="M21" s="6" t="s">
        <v>128</v>
      </c>
      <c r="N21" s="11">
        <v>0.5</v>
      </c>
      <c r="O21" s="11" t="s">
        <v>209</v>
      </c>
    </row>
    <row r="22" spans="4:16" ht="15.75" x14ac:dyDescent="0.25">
      <c r="D22" s="11" t="s">
        <v>175</v>
      </c>
      <c r="E22" s="35">
        <v>50</v>
      </c>
      <c r="F22" s="35">
        <v>15</v>
      </c>
      <c r="G22" s="35">
        <v>1.5</v>
      </c>
      <c r="H22" s="35">
        <v>0.11</v>
      </c>
      <c r="I22" s="35">
        <v>3</v>
      </c>
      <c r="J22" s="35">
        <v>0.89</v>
      </c>
      <c r="L22" s="14">
        <v>15</v>
      </c>
      <c r="M22" s="6" t="s">
        <v>138</v>
      </c>
      <c r="N22" s="11">
        <v>0.5</v>
      </c>
      <c r="O22" s="11" t="s">
        <v>209</v>
      </c>
    </row>
    <row r="23" spans="4:16" ht="15.75" x14ac:dyDescent="0.25">
      <c r="D23" s="11" t="s">
        <v>7</v>
      </c>
      <c r="E23" s="35">
        <v>50</v>
      </c>
      <c r="F23" s="35">
        <v>50</v>
      </c>
      <c r="G23" s="35">
        <v>0</v>
      </c>
      <c r="H23" s="35">
        <v>0</v>
      </c>
      <c r="I23" s="35">
        <v>12</v>
      </c>
      <c r="J23" s="35">
        <v>0</v>
      </c>
      <c r="L23" s="14">
        <v>16</v>
      </c>
      <c r="M23" s="6" t="s">
        <v>95</v>
      </c>
      <c r="N23" s="11">
        <v>30</v>
      </c>
      <c r="O23" s="11" t="s">
        <v>209</v>
      </c>
    </row>
    <row r="24" spans="4:16" ht="15.75" x14ac:dyDescent="0.25">
      <c r="D24" s="11" t="s">
        <v>20</v>
      </c>
      <c r="E24" s="35">
        <v>7.5</v>
      </c>
      <c r="F24" s="35">
        <v>66.3</v>
      </c>
      <c r="G24" s="35">
        <v>0</v>
      </c>
      <c r="H24" s="35">
        <v>7.5</v>
      </c>
      <c r="I24" s="35">
        <v>0</v>
      </c>
      <c r="J24" s="35">
        <v>0</v>
      </c>
      <c r="L24" s="14"/>
      <c r="M24" s="23" t="s">
        <v>226</v>
      </c>
      <c r="N24" s="11"/>
      <c r="O24" s="11"/>
    </row>
    <row r="25" spans="4:16" ht="15.75" x14ac:dyDescent="0.25">
      <c r="D25" s="40" t="s">
        <v>21</v>
      </c>
      <c r="E25" s="40"/>
      <c r="F25" s="52">
        <v>599.15</v>
      </c>
      <c r="G25" s="52">
        <v>24.75</v>
      </c>
      <c r="H25" s="52">
        <v>11.43</v>
      </c>
      <c r="I25" s="52">
        <v>97.98</v>
      </c>
      <c r="J25" s="52">
        <v>1.24</v>
      </c>
      <c r="L25" s="15">
        <v>17</v>
      </c>
      <c r="M25" s="12" t="s">
        <v>89</v>
      </c>
      <c r="N25" s="20">
        <v>217</v>
      </c>
      <c r="O25" s="20" t="s">
        <v>185</v>
      </c>
    </row>
    <row r="26" spans="4:16" ht="15.75" x14ac:dyDescent="0.25">
      <c r="D26" s="10"/>
      <c r="E26" s="19"/>
      <c r="F26" s="43"/>
      <c r="G26" s="43"/>
      <c r="H26" s="43"/>
      <c r="I26" s="43"/>
      <c r="J26" s="43"/>
      <c r="L26" s="11">
        <v>18</v>
      </c>
      <c r="M26" s="12" t="s">
        <v>191</v>
      </c>
      <c r="N26" s="11">
        <v>3</v>
      </c>
      <c r="O26" s="11" t="s">
        <v>100</v>
      </c>
    </row>
    <row r="27" spans="4:16" x14ac:dyDescent="0.25">
      <c r="L27" s="11">
        <v>19</v>
      </c>
      <c r="M27" s="12" t="s">
        <v>90</v>
      </c>
      <c r="N27" s="11"/>
      <c r="O27" s="11" t="s">
        <v>189</v>
      </c>
      <c r="P27" s="2" t="s">
        <v>203</v>
      </c>
    </row>
    <row r="28" spans="4:16" x14ac:dyDescent="0.25">
      <c r="D28" s="10"/>
      <c r="E28" s="10"/>
      <c r="F28" s="10"/>
      <c r="G28" s="10"/>
      <c r="H28" s="10"/>
      <c r="I28" s="10"/>
      <c r="J28" s="10"/>
      <c r="L28" s="11">
        <v>20</v>
      </c>
      <c r="M28" s="12" t="s">
        <v>91</v>
      </c>
      <c r="N28" s="11"/>
      <c r="O28" s="11" t="s">
        <v>189</v>
      </c>
      <c r="P28" s="1" t="s">
        <v>203</v>
      </c>
    </row>
    <row r="29" spans="4:16" x14ac:dyDescent="0.25">
      <c r="L29" s="11">
        <v>21</v>
      </c>
      <c r="M29" s="12" t="s">
        <v>20</v>
      </c>
      <c r="N29" s="11">
        <v>10</v>
      </c>
      <c r="O29" s="11" t="s">
        <v>100</v>
      </c>
    </row>
    <row r="30" spans="4:16" x14ac:dyDescent="0.25">
      <c r="L30" s="11"/>
      <c r="M30" s="23" t="s">
        <v>235</v>
      </c>
      <c r="N30" s="11"/>
      <c r="O30" s="11"/>
    </row>
    <row r="31" spans="4:16" x14ac:dyDescent="0.25">
      <c r="L31" s="11">
        <v>22</v>
      </c>
      <c r="M31" s="6" t="s">
        <v>175</v>
      </c>
      <c r="N31" s="11">
        <v>75</v>
      </c>
      <c r="O31" s="11" t="s">
        <v>100</v>
      </c>
    </row>
    <row r="32" spans="4:16" x14ac:dyDescent="0.25">
      <c r="L32" s="11">
        <v>23</v>
      </c>
      <c r="M32" s="6" t="s">
        <v>117</v>
      </c>
      <c r="N32" s="11">
        <v>0.5</v>
      </c>
      <c r="O32" s="11" t="s">
        <v>100</v>
      </c>
    </row>
    <row r="33" spans="12:16" x14ac:dyDescent="0.25">
      <c r="L33" s="11">
        <v>24</v>
      </c>
      <c r="M33" s="6" t="s">
        <v>82</v>
      </c>
      <c r="N33" s="11">
        <v>1</v>
      </c>
      <c r="O33" s="11" t="s">
        <v>100</v>
      </c>
    </row>
    <row r="34" spans="12:16" x14ac:dyDescent="0.25">
      <c r="L34" s="11">
        <v>25</v>
      </c>
      <c r="M34" s="6" t="s">
        <v>119</v>
      </c>
      <c r="N34" s="11">
        <v>1</v>
      </c>
      <c r="O34" s="11" t="s">
        <v>100</v>
      </c>
    </row>
    <row r="35" spans="12:16" x14ac:dyDescent="0.25">
      <c r="L35" s="11">
        <v>26</v>
      </c>
      <c r="M35" s="6" t="s">
        <v>120</v>
      </c>
      <c r="N35" s="11">
        <v>2</v>
      </c>
      <c r="O35" s="11" t="s">
        <v>182</v>
      </c>
    </row>
    <row r="36" spans="12:16" x14ac:dyDescent="0.25">
      <c r="L36" s="11">
        <v>27</v>
      </c>
      <c r="M36" s="6" t="s">
        <v>83</v>
      </c>
      <c r="N36" s="11">
        <v>2</v>
      </c>
      <c r="O36" s="11" t="s">
        <v>187</v>
      </c>
    </row>
    <row r="37" spans="12:16" x14ac:dyDescent="0.25">
      <c r="L37" s="11">
        <v>28</v>
      </c>
      <c r="M37" s="6" t="s">
        <v>115</v>
      </c>
      <c r="N37" s="11"/>
      <c r="O37" s="11" t="s">
        <v>189</v>
      </c>
      <c r="P37" s="1" t="s">
        <v>196</v>
      </c>
    </row>
    <row r="38" spans="12:16" x14ac:dyDescent="0.25">
      <c r="L38" s="11">
        <v>29</v>
      </c>
      <c r="M38" s="6" t="s">
        <v>95</v>
      </c>
      <c r="N38" s="11">
        <v>5</v>
      </c>
      <c r="O38" s="11" t="s">
        <v>100</v>
      </c>
    </row>
    <row r="39" spans="12:16" x14ac:dyDescent="0.25">
      <c r="L39" s="11"/>
      <c r="M39" s="23" t="s">
        <v>213</v>
      </c>
      <c r="N39" s="11"/>
      <c r="O39" s="11"/>
    </row>
    <row r="40" spans="12:16" x14ac:dyDescent="0.25">
      <c r="L40" s="11">
        <v>30</v>
      </c>
      <c r="M40" s="6" t="s">
        <v>59</v>
      </c>
      <c r="N40" s="11">
        <v>108</v>
      </c>
      <c r="O40" s="11" t="s">
        <v>100</v>
      </c>
    </row>
  </sheetData>
  <mergeCells count="2">
    <mergeCell ref="B3:H3"/>
    <mergeCell ref="B4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27CD-7521-4CD8-8DE6-0046821957A4}">
  <dimension ref="B3:O27"/>
  <sheetViews>
    <sheetView topLeftCell="A6" workbookViewId="0">
      <selection activeCell="M19" sqref="M19"/>
    </sheetView>
  </sheetViews>
  <sheetFormatPr defaultRowHeight="15" x14ac:dyDescent="0.25"/>
  <cols>
    <col min="2" max="2" width="13" customWidth="1"/>
    <col min="4" max="4" width="20.28515625" customWidth="1"/>
    <col min="9" max="9" width="15.5703125" customWidth="1"/>
    <col min="13" max="13" width="24.28515625" customWidth="1"/>
  </cols>
  <sheetData>
    <row r="3" spans="2:15" x14ac:dyDescent="0.25">
      <c r="B3" s="59" t="s">
        <v>0</v>
      </c>
      <c r="C3" s="59"/>
      <c r="D3" s="59"/>
      <c r="E3" s="59"/>
      <c r="F3" s="59"/>
      <c r="G3" s="59"/>
      <c r="H3" s="59"/>
    </row>
    <row r="4" spans="2:15" x14ac:dyDescent="0.25">
      <c r="B4" s="60" t="s">
        <v>1</v>
      </c>
      <c r="C4" s="59"/>
      <c r="D4" s="59"/>
      <c r="E4" s="59"/>
      <c r="F4" s="59"/>
      <c r="G4" s="59"/>
      <c r="H4" s="59"/>
    </row>
    <row r="5" spans="2:15" x14ac:dyDescent="0.25">
      <c r="B5" s="3" t="s">
        <v>74</v>
      </c>
      <c r="D5" s="5" t="s">
        <v>13</v>
      </c>
      <c r="L5" s="5" t="s">
        <v>26</v>
      </c>
    </row>
    <row r="6" spans="2:15" ht="15.75" thickBot="1" x14ac:dyDescent="0.3">
      <c r="B6" t="s">
        <v>78</v>
      </c>
      <c r="D6" s="5" t="s">
        <v>12</v>
      </c>
      <c r="L6" s="4" t="s">
        <v>8</v>
      </c>
      <c r="M6" s="4" t="s">
        <v>9</v>
      </c>
      <c r="N6" s="4" t="s">
        <v>10</v>
      </c>
      <c r="O6" s="4" t="s">
        <v>11</v>
      </c>
    </row>
    <row r="7" spans="2:15" ht="28.5" x14ac:dyDescent="0.25">
      <c r="B7" t="s">
        <v>58</v>
      </c>
      <c r="D7" s="36" t="s">
        <v>14</v>
      </c>
      <c r="E7" s="37" t="s">
        <v>15</v>
      </c>
      <c r="F7" s="37" t="s">
        <v>16</v>
      </c>
      <c r="G7" s="37" t="s">
        <v>17</v>
      </c>
      <c r="H7" s="37" t="s">
        <v>18</v>
      </c>
      <c r="I7" s="38" t="s">
        <v>19</v>
      </c>
      <c r="J7" s="46" t="s">
        <v>23</v>
      </c>
      <c r="L7" s="13">
        <v>1</v>
      </c>
      <c r="M7" s="6" t="s">
        <v>177</v>
      </c>
      <c r="N7" s="11">
        <v>115</v>
      </c>
      <c r="O7" s="11" t="s">
        <v>100</v>
      </c>
    </row>
    <row r="8" spans="2:15" ht="15.75" x14ac:dyDescent="0.25">
      <c r="B8" t="s">
        <v>60</v>
      </c>
      <c r="D8" s="11" t="s">
        <v>178</v>
      </c>
      <c r="E8" s="35">
        <v>135</v>
      </c>
      <c r="F8" s="35">
        <v>251.1</v>
      </c>
      <c r="G8" s="35">
        <v>2.56</v>
      </c>
      <c r="H8" s="35">
        <v>0.27</v>
      </c>
      <c r="I8" s="35">
        <v>59.8</v>
      </c>
      <c r="J8" s="35">
        <v>4.59</v>
      </c>
      <c r="L8" s="13">
        <v>2</v>
      </c>
      <c r="M8" s="6" t="s">
        <v>110</v>
      </c>
      <c r="N8" s="11">
        <v>58</v>
      </c>
      <c r="O8" s="11" t="s">
        <v>185</v>
      </c>
    </row>
    <row r="9" spans="2:15" ht="15.75" x14ac:dyDescent="0.25">
      <c r="B9" t="s">
        <v>79</v>
      </c>
      <c r="D9" s="11" t="s">
        <v>3</v>
      </c>
      <c r="E9" s="35">
        <v>55</v>
      </c>
      <c r="F9" s="35">
        <v>84.7</v>
      </c>
      <c r="G9" s="35">
        <v>6.82</v>
      </c>
      <c r="H9" s="35">
        <v>5.94</v>
      </c>
      <c r="I9" s="35">
        <v>0.39</v>
      </c>
      <c r="J9" s="35">
        <v>0</v>
      </c>
      <c r="L9" s="13">
        <v>3</v>
      </c>
      <c r="M9" s="6" t="s">
        <v>150</v>
      </c>
      <c r="N9" s="11">
        <v>495</v>
      </c>
      <c r="O9" s="11" t="s">
        <v>194</v>
      </c>
    </row>
    <row r="10" spans="2:15" ht="15.75" x14ac:dyDescent="0.25">
      <c r="D10" s="11" t="s">
        <v>179</v>
      </c>
      <c r="E10" s="35">
        <v>115</v>
      </c>
      <c r="F10" s="35">
        <v>62.73</v>
      </c>
      <c r="G10" s="35">
        <v>3.14</v>
      </c>
      <c r="H10" s="35">
        <v>2.61</v>
      </c>
      <c r="I10" s="35">
        <v>6.27</v>
      </c>
      <c r="J10" s="35">
        <v>0</v>
      </c>
      <c r="L10" s="13">
        <v>4</v>
      </c>
      <c r="M10" s="6" t="s">
        <v>152</v>
      </c>
      <c r="N10" s="21">
        <v>1220</v>
      </c>
      <c r="O10" s="11" t="s">
        <v>194</v>
      </c>
    </row>
    <row r="11" spans="2:15" ht="15.75" x14ac:dyDescent="0.25">
      <c r="D11" s="11" t="s">
        <v>79</v>
      </c>
      <c r="E11" s="35">
        <v>110</v>
      </c>
      <c r="F11" s="35">
        <v>49.5</v>
      </c>
      <c r="G11" s="35">
        <v>0.99</v>
      </c>
      <c r="H11" s="35">
        <v>0.22</v>
      </c>
      <c r="I11" s="35">
        <v>12.32</v>
      </c>
      <c r="J11" s="35">
        <v>1.54</v>
      </c>
      <c r="L11" s="13">
        <v>5</v>
      </c>
      <c r="M11" s="6" t="s">
        <v>79</v>
      </c>
      <c r="N11" s="11">
        <v>120</v>
      </c>
      <c r="O11" s="11" t="s">
        <v>100</v>
      </c>
    </row>
    <row r="12" spans="2:15" ht="15.75" x14ac:dyDescent="0.25">
      <c r="D12" s="40" t="s">
        <v>21</v>
      </c>
      <c r="E12" s="40"/>
      <c r="F12" s="41">
        <v>448.03</v>
      </c>
      <c r="G12" s="41">
        <v>13.51</v>
      </c>
      <c r="H12" s="41">
        <v>9.0399999999999991</v>
      </c>
      <c r="I12" s="41">
        <v>78.78</v>
      </c>
      <c r="J12" s="41">
        <v>6.13</v>
      </c>
      <c r="L12" s="11">
        <v>6</v>
      </c>
      <c r="M12" s="17" t="s">
        <v>151</v>
      </c>
      <c r="N12" s="6"/>
      <c r="O12" s="6"/>
    </row>
    <row r="13" spans="2:15" ht="15.75" x14ac:dyDescent="0.25">
      <c r="F13" s="34"/>
      <c r="G13" s="34"/>
      <c r="H13" s="34"/>
      <c r="I13" s="34"/>
      <c r="J13" s="34"/>
    </row>
    <row r="14" spans="2:15" ht="15.75" x14ac:dyDescent="0.25">
      <c r="D14" s="10"/>
      <c r="E14" s="10"/>
      <c r="F14" s="34"/>
      <c r="G14" s="34"/>
      <c r="H14" s="34"/>
      <c r="I14" s="34"/>
      <c r="J14" s="34"/>
    </row>
    <row r="16" spans="2:15" ht="15.75" x14ac:dyDescent="0.25">
      <c r="D16" s="8" t="s">
        <v>24</v>
      </c>
    </row>
    <row r="17" spans="4:10" ht="28.5" x14ac:dyDescent="0.25">
      <c r="D17" s="39" t="s">
        <v>14</v>
      </c>
      <c r="E17" s="39" t="s">
        <v>15</v>
      </c>
      <c r="F17" s="39" t="s">
        <v>16</v>
      </c>
      <c r="G17" s="39" t="s">
        <v>17</v>
      </c>
      <c r="H17" s="39" t="s">
        <v>18</v>
      </c>
      <c r="I17" s="39" t="s">
        <v>19</v>
      </c>
      <c r="J17" s="39" t="s">
        <v>23</v>
      </c>
    </row>
    <row r="18" spans="4:10" ht="15.75" x14ac:dyDescent="0.25">
      <c r="D18" s="11" t="s">
        <v>178</v>
      </c>
      <c r="E18" s="35">
        <v>236</v>
      </c>
      <c r="F18" s="35">
        <v>438.96</v>
      </c>
      <c r="G18" s="35">
        <v>4.4800000000000004</v>
      </c>
      <c r="H18" s="35">
        <v>0.47</v>
      </c>
      <c r="I18" s="35">
        <v>104.55</v>
      </c>
      <c r="J18" s="35">
        <v>8.02</v>
      </c>
    </row>
    <row r="19" spans="4:10" ht="15.75" x14ac:dyDescent="0.25">
      <c r="D19" s="11" t="s">
        <v>3</v>
      </c>
      <c r="E19" s="35">
        <v>55</v>
      </c>
      <c r="F19" s="35">
        <v>84.7</v>
      </c>
      <c r="G19" s="35">
        <v>6.82</v>
      </c>
      <c r="H19" s="35">
        <v>5.94</v>
      </c>
      <c r="I19" s="35">
        <v>0.39</v>
      </c>
      <c r="J19" s="35">
        <v>0</v>
      </c>
    </row>
    <row r="20" spans="4:10" ht="15.75" x14ac:dyDescent="0.25">
      <c r="D20" s="11" t="s">
        <v>180</v>
      </c>
      <c r="E20" s="35">
        <v>125</v>
      </c>
      <c r="F20" s="35">
        <v>68.180000000000007</v>
      </c>
      <c r="G20" s="35">
        <v>3.41</v>
      </c>
      <c r="H20" s="35">
        <v>2.84</v>
      </c>
      <c r="I20" s="35">
        <v>6.82</v>
      </c>
      <c r="J20" s="35">
        <v>0</v>
      </c>
    </row>
    <row r="21" spans="4:10" ht="15.75" x14ac:dyDescent="0.25">
      <c r="D21" s="11" t="s">
        <v>79</v>
      </c>
      <c r="E21" s="35">
        <v>110</v>
      </c>
      <c r="F21" s="35">
        <v>49.5</v>
      </c>
      <c r="G21" s="35">
        <v>0.99</v>
      </c>
      <c r="H21" s="35">
        <v>0.22</v>
      </c>
      <c r="I21" s="35">
        <v>12.32</v>
      </c>
      <c r="J21" s="35">
        <v>1.54</v>
      </c>
    </row>
    <row r="22" spans="4:10" ht="15.75" x14ac:dyDescent="0.25">
      <c r="D22" s="40" t="s">
        <v>21</v>
      </c>
      <c r="E22" s="40"/>
      <c r="F22" s="41">
        <v>641.34</v>
      </c>
      <c r="G22" s="41">
        <v>15.7</v>
      </c>
      <c r="H22" s="41">
        <v>9.4700000000000006</v>
      </c>
      <c r="I22" s="41">
        <v>124.08</v>
      </c>
      <c r="J22" s="41">
        <v>9.56</v>
      </c>
    </row>
    <row r="23" spans="4:10" ht="15.75" x14ac:dyDescent="0.25">
      <c r="F23" s="34"/>
      <c r="G23" s="34"/>
      <c r="H23" s="34"/>
      <c r="I23" s="34"/>
      <c r="J23" s="34"/>
    </row>
    <row r="24" spans="4:10" x14ac:dyDescent="0.25">
      <c r="D24" s="10"/>
      <c r="E24" s="10"/>
      <c r="F24" s="10"/>
      <c r="G24" s="10"/>
      <c r="H24" s="10"/>
      <c r="I24" s="10"/>
      <c r="J24" s="10"/>
    </row>
    <row r="25" spans="4:10" x14ac:dyDescent="0.25">
      <c r="D25" s="10"/>
      <c r="E25" s="10"/>
      <c r="F25" s="10"/>
      <c r="G25" s="10"/>
      <c r="H25" s="10"/>
      <c r="I25" s="10"/>
      <c r="J25" s="10"/>
    </row>
    <row r="27" spans="4:10" x14ac:dyDescent="0.25">
      <c r="D27" s="10"/>
      <c r="E27" s="10"/>
      <c r="F27" s="10"/>
      <c r="G27" s="10"/>
      <c r="H27" s="10"/>
      <c r="I27" s="10"/>
      <c r="J27" s="10"/>
    </row>
  </sheetData>
  <mergeCells count="2">
    <mergeCell ref="B3:H3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MENU 1 KHAS DAERAH</vt:lpstr>
      <vt:lpstr>MENU 2</vt:lpstr>
      <vt:lpstr>MENU 3</vt:lpstr>
      <vt:lpstr>MENU 4</vt:lpstr>
      <vt:lpstr>MENU 5</vt:lpstr>
      <vt:lpstr>MENU 6</vt:lpstr>
      <vt:lpstr>MENU 7</vt:lpstr>
      <vt:lpstr>MENU 8</vt:lpstr>
      <vt:lpstr>MENU 9</vt:lpstr>
      <vt:lpstr>MENU 10</vt:lpstr>
      <vt:lpstr>MENU 11</vt:lpstr>
      <vt:lpstr>MENU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2025-12-24T11:45:03Z</dcterms:created>
  <dcterms:modified xsi:type="dcterms:W3CDTF">2026-01-06T10:23:46Z</dcterms:modified>
</cp:coreProperties>
</file>